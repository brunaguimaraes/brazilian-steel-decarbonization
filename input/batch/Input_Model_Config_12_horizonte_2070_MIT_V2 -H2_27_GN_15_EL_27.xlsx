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ARTIGO/submission/Research Data_2/input/batch/"/>
    </mc:Choice>
  </mc:AlternateContent>
  <xr:revisionPtr revIDLastSave="121" documentId="11_AB6E0913468DC33AF2FF81ED52844B6924B5C050" xr6:coauthVersionLast="47" xr6:coauthVersionMax="47" xr10:uidLastSave="{9E45C1DF-C4F4-42D2-B31D-17157D928DC0}"/>
  <bookViews>
    <workbookView xWindow="-108" yWindow="-108" windowWidth="23256" windowHeight="12456" activeTab="2" xr2:uid="{00000000-000D-0000-FFFF-FFFF00000000}"/>
  </bookViews>
  <sheets>
    <sheet name="Parameters" sheetId="1" r:id="rId1"/>
    <sheet name="Routes" sheetId="2" r:id="rId2"/>
    <sheet name="Route_Fuel_Consumption" sheetId="3" r:id="rId3"/>
    <sheet name="Fuel_Prices" sheetId="4" r:id="rId4"/>
    <sheet name="Emission_Factors" sheetId="5" r:id="rId5"/>
    <sheet name="Emission_Cap" sheetId="6" r:id="rId6"/>
    <sheet name="Production_Target" sheetId="7" r:id="rId7"/>
    <sheet name="Scrap_Supply" sheetId="8" r:id="rId8"/>
    <sheet name="Biomass_Supply" sheetId="9" r:id="rId9"/>
    <sheet name="Fossil_Share_Max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  <c r="B3" i="2"/>
  <c r="B2" i="2"/>
  <c r="B31" i="6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30" i="6"/>
  <c r="B13" i="6"/>
  <c r="B14" i="6"/>
  <c r="B15" i="6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13" i="10" l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30" i="10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28" i="6" l="1"/>
</calcChain>
</file>

<file path=xl/sharedStrings.xml><?xml version="1.0" encoding="utf-8"?>
<sst xmlns="http://schemas.openxmlformats.org/spreadsheetml/2006/main" count="202" uniqueCount="115">
  <si>
    <t>Parameter</t>
  </si>
  <si>
    <t>Value</t>
  </si>
  <si>
    <t>Description</t>
  </si>
  <si>
    <t>YEAR_START</t>
  </si>
  <si>
    <t>First year of the optimization horizon</t>
  </si>
  <si>
    <t>YEAR_END</t>
  </si>
  <si>
    <t>Last year of the optimization horizon</t>
  </si>
  <si>
    <t>BASE_YEAR</t>
  </si>
  <si>
    <t>Reference year for base-year calibration</t>
  </si>
  <si>
    <t>DISCOUNT_RATE</t>
  </si>
  <si>
    <t>Annual discount rate (decimal)</t>
  </si>
  <si>
    <t>MINIMUM_UTILIZATION</t>
  </si>
  <si>
    <t>Minimum capacity utilization when plant is active</t>
  </si>
  <si>
    <t>PLANT_LIFETIME</t>
  </si>
  <si>
    <t>Default lifetime (years) for new capacity</t>
  </si>
  <si>
    <t>CAPEX_AMORTIZATION</t>
  </si>
  <si>
    <t>Period (years) over which CAPEX is amortized</t>
  </si>
  <si>
    <t>CAPACITY_MULTIPLIER</t>
  </si>
  <si>
    <t>Successor slot capacity = original × this factor</t>
  </si>
  <si>
    <t>CAPTURE_RATE_CCS</t>
  </si>
  <si>
    <t>CO2 capture rate for BF-BOF-CCS route</t>
  </si>
  <si>
    <t>MAX_RAMP_DOWN</t>
  </si>
  <si>
    <t>Maximum allowed year-on-year production drop</t>
  </si>
  <si>
    <t>Route</t>
  </si>
  <si>
    <t>CAPEX_retrofit_USD_per_t</t>
  </si>
  <si>
    <t>CAPEX_greenfield_USD_per_t</t>
  </si>
  <si>
    <t>OPEX_fixed_USD_per_t</t>
  </si>
  <si>
    <t>Scrap_rate_t_per_t</t>
  </si>
  <si>
    <t>Uses_biomass</t>
  </si>
  <si>
    <t>Greenfield_max_capacity_kt</t>
  </si>
  <si>
    <t>BF-BOF MC</t>
  </si>
  <si>
    <t>BF-BOF CC</t>
  </si>
  <si>
    <t>BF-BOF-CCS</t>
  </si>
  <si>
    <t>EAF</t>
  </si>
  <si>
    <t>DR-NG</t>
  </si>
  <si>
    <t>DR-H2</t>
  </si>
  <si>
    <t>IBT</t>
  </si>
  <si>
    <t>DR-NG-CCS</t>
  </si>
  <si>
    <t>Fuel</t>
  </si>
  <si>
    <t>EI_GJ_per_t</t>
  </si>
  <si>
    <t>Carvao mineral</t>
  </si>
  <si>
    <t>Eletricidade</t>
  </si>
  <si>
    <t>Gas natural</t>
  </si>
  <si>
    <t>Coque</t>
  </si>
  <si>
    <t>Gas de coqueria</t>
  </si>
  <si>
    <t>Oleo diesel</t>
  </si>
  <si>
    <t>Carvao vegetal</t>
  </si>
  <si>
    <t>Sucata</t>
  </si>
  <si>
    <t>Hidrogenio</t>
  </si>
  <si>
    <t>HOROVITZ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</si>
  <si>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</si>
  <si>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</si>
  <si>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</si>
  <si>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</si>
  <si>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</si>
  <si>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</si>
  <si>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</si>
  <si>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</si>
  <si>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</si>
  <si>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</si>
  <si>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</si>
  <si>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</si>
  <si>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</si>
  <si>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</si>
  <si>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</si>
  <si>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</si>
  <si>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</si>
  <si>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</si>
  <si>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</si>
  <si>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</si>
  <si>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</si>
  <si>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</si>
  <si>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</si>
  <si>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</si>
  <si>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</si>
  <si>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</si>
  <si>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</si>
  <si>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</si>
  <si>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</si>
  <si>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</si>
  <si>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</si>
  <si>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</si>
  <si>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</si>
  <si>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</si>
  <si>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</si>
  <si>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</si>
  <si>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</si>
  <si>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</si>
  <si>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</si>
  <si>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</si>
  <si>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</si>
  <si>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</si>
  <si>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</si>
  <si>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</si>
  <si>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</si>
  <si>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</si>
  <si>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</si>
  <si>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</si>
  <si>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Oleo combustivel</t>
  </si>
  <si>
    <t>EF_tCO2_per_GJ</t>
  </si>
  <si>
    <t>Notes</t>
  </si>
  <si>
    <t>Direct combustion CO2</t>
  </si>
  <si>
    <t>Net zero (assumes sustainable forestry)</t>
  </si>
  <si>
    <t>Brazilian grid average — varies year by year</t>
  </si>
  <si>
    <t>IPCC default</t>
  </si>
  <si>
    <t>Assumes green H2</t>
  </si>
  <si>
    <t>No combustion CO2 from scrap melting itself</t>
  </si>
  <si>
    <t>Year</t>
  </si>
  <si>
    <t>Emission_cap_tCO2</t>
  </si>
  <si>
    <t>Production_kt</t>
  </si>
  <si>
    <t>Scrap_supply_kt</t>
  </si>
  <si>
    <t>Biomass_supply_GJ</t>
  </si>
  <si>
    <t>Fossil_share_max</t>
  </si>
  <si>
    <t>Note</t>
  </si>
  <si>
    <t>PLACEHOLDER: all years = 1.0 (100%) = constraint currently non-binding. Edit Fossil_share_max (fraction 0-1) per year to reflect your target fossil-share trajectory (e.g. flat until a policy year, then linear decline).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</si>
</sst>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0" fontId="0" fillId="2" borderId="0" xfId="0" applyFill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B12" sqref="B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2023</v>
      </c>
      <c r="C2" t="s">
        <v>4</v>
      </c>
    </row>
    <row r="3" spans="1:3" x14ac:dyDescent="0.3">
      <c r="A3" t="s">
        <v>5</v>
      </c>
      <c r="B3">
        <v>2070</v>
      </c>
      <c r="C3" t="s">
        <v>6</v>
      </c>
    </row>
    <row r="4" spans="1:3" x14ac:dyDescent="0.3">
      <c r="A4" t="s">
        <v>7</v>
      </c>
      <c r="B4">
        <v>2023</v>
      </c>
      <c r="C4" t="s">
        <v>8</v>
      </c>
    </row>
    <row r="5" spans="1:3" x14ac:dyDescent="0.3">
      <c r="A5" t="s">
        <v>9</v>
      </c>
      <c r="B5">
        <v>0.08</v>
      </c>
      <c r="C5" t="s">
        <v>10</v>
      </c>
    </row>
    <row r="6" spans="1:3" x14ac:dyDescent="0.3">
      <c r="A6" t="s">
        <v>11</v>
      </c>
      <c r="B6">
        <v>0.7</v>
      </c>
      <c r="C6" t="s">
        <v>12</v>
      </c>
    </row>
    <row r="7" spans="1:3" x14ac:dyDescent="0.3">
      <c r="A7" t="s">
        <v>13</v>
      </c>
      <c r="B7">
        <v>25</v>
      </c>
      <c r="C7" t="s">
        <v>14</v>
      </c>
    </row>
    <row r="8" spans="1:3" x14ac:dyDescent="0.3">
      <c r="A8" t="s">
        <v>15</v>
      </c>
      <c r="B8">
        <v>25</v>
      </c>
      <c r="C8" t="s">
        <v>16</v>
      </c>
    </row>
    <row r="9" spans="1:3" x14ac:dyDescent="0.3">
      <c r="A9" t="s">
        <v>17</v>
      </c>
      <c r="B9">
        <v>1.5</v>
      </c>
      <c r="C9" t="s">
        <v>18</v>
      </c>
    </row>
    <row r="10" spans="1:3" x14ac:dyDescent="0.3">
      <c r="A10" t="s">
        <v>19</v>
      </c>
      <c r="B10">
        <v>0.8</v>
      </c>
      <c r="C10" t="s">
        <v>20</v>
      </c>
    </row>
    <row r="11" spans="1:3" x14ac:dyDescent="0.3">
      <c r="A11" t="s">
        <v>21</v>
      </c>
      <c r="B11">
        <v>0.1</v>
      </c>
      <c r="C1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sqref="A1:G9"/>
    </sheetView>
  </sheetViews>
  <sheetFormatPr defaultRowHeight="14.4" x14ac:dyDescent="0.3"/>
  <cols>
    <col min="1" max="1" width="11.44140625" bestFit="1" customWidth="1"/>
    <col min="2" max="2" width="24.88671875" bestFit="1" customWidth="1"/>
    <col min="3" max="3" width="27.88671875" bestFit="1" customWidth="1"/>
    <col min="6" max="6" width="13.5546875" bestFit="1" customWidth="1"/>
    <col min="7" max="7" width="26.6640625" bestFit="1" customWidth="1"/>
  </cols>
  <sheetData>
    <row r="1" spans="1:7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</row>
    <row r="2" spans="1:7" x14ac:dyDescent="0.3">
      <c r="A2" t="s">
        <v>30</v>
      </c>
      <c r="B2">
        <f>C2*0.5</f>
        <v>235.5</v>
      </c>
      <c r="C2">
        <v>471</v>
      </c>
      <c r="D2">
        <v>89</v>
      </c>
      <c r="E2">
        <v>0</v>
      </c>
      <c r="F2" t="b">
        <v>0</v>
      </c>
      <c r="G2">
        <v>6000</v>
      </c>
    </row>
    <row r="3" spans="1:7" x14ac:dyDescent="0.3">
      <c r="A3" t="s">
        <v>31</v>
      </c>
      <c r="B3">
        <f t="shared" ref="B3:B9" si="0">C3*0.5</f>
        <v>235.5</v>
      </c>
      <c r="C3">
        <v>471</v>
      </c>
      <c r="D3">
        <v>89</v>
      </c>
      <c r="E3">
        <v>0</v>
      </c>
      <c r="F3" t="b">
        <v>1</v>
      </c>
      <c r="G3">
        <v>4000</v>
      </c>
    </row>
    <row r="4" spans="1:7" x14ac:dyDescent="0.3">
      <c r="A4" t="s">
        <v>32</v>
      </c>
      <c r="B4">
        <f t="shared" si="0"/>
        <v>311.5</v>
      </c>
      <c r="C4">
        <v>623</v>
      </c>
      <c r="D4">
        <v>89</v>
      </c>
      <c r="E4">
        <v>0</v>
      </c>
      <c r="F4" t="b">
        <v>0</v>
      </c>
      <c r="G4">
        <v>6000</v>
      </c>
    </row>
    <row r="5" spans="1:7" x14ac:dyDescent="0.3">
      <c r="A5" t="s">
        <v>33</v>
      </c>
      <c r="B5">
        <f t="shared" si="0"/>
        <v>115</v>
      </c>
      <c r="C5">
        <v>230</v>
      </c>
      <c r="D5">
        <v>89</v>
      </c>
      <c r="E5">
        <v>0.95</v>
      </c>
      <c r="F5" t="b">
        <v>0</v>
      </c>
      <c r="G5">
        <v>2000</v>
      </c>
    </row>
    <row r="6" spans="1:7" x14ac:dyDescent="0.3">
      <c r="A6" t="s">
        <v>34</v>
      </c>
      <c r="B6">
        <f t="shared" si="0"/>
        <v>186</v>
      </c>
      <c r="C6">
        <v>372</v>
      </c>
      <c r="D6">
        <v>58</v>
      </c>
      <c r="E6">
        <v>0</v>
      </c>
      <c r="F6" t="b">
        <v>0</v>
      </c>
      <c r="G6">
        <v>3000</v>
      </c>
    </row>
    <row r="7" spans="1:7" x14ac:dyDescent="0.3">
      <c r="A7" t="s">
        <v>35</v>
      </c>
      <c r="B7">
        <f t="shared" si="0"/>
        <v>186</v>
      </c>
      <c r="C7">
        <v>372</v>
      </c>
      <c r="D7">
        <v>58</v>
      </c>
      <c r="E7">
        <v>0</v>
      </c>
      <c r="F7" t="b">
        <v>0</v>
      </c>
      <c r="G7">
        <v>2500</v>
      </c>
    </row>
    <row r="8" spans="1:7" x14ac:dyDescent="0.3">
      <c r="A8" t="s">
        <v>36</v>
      </c>
      <c r="B8">
        <f t="shared" si="0"/>
        <v>220.5</v>
      </c>
      <c r="C8">
        <v>441</v>
      </c>
      <c r="D8">
        <v>89</v>
      </c>
      <c r="E8">
        <v>0</v>
      </c>
      <c r="F8" t="b">
        <v>1</v>
      </c>
      <c r="G8">
        <v>3000</v>
      </c>
    </row>
    <row r="9" spans="1:7" x14ac:dyDescent="0.3">
      <c r="A9" t="s">
        <v>37</v>
      </c>
      <c r="B9">
        <f t="shared" si="0"/>
        <v>206</v>
      </c>
      <c r="C9">
        <v>412</v>
      </c>
      <c r="D9">
        <v>89</v>
      </c>
      <c r="E9">
        <v>0</v>
      </c>
      <c r="F9" t="b">
        <v>0</v>
      </c>
      <c r="G9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5"/>
  <sheetViews>
    <sheetView tabSelected="1" workbookViewId="0">
      <selection activeCell="C19" sqref="C19:C23"/>
    </sheetView>
  </sheetViews>
  <sheetFormatPr defaultRowHeight="14.4" x14ac:dyDescent="0.3"/>
  <cols>
    <col min="1" max="1" width="11.44140625" bestFit="1" customWidth="1"/>
    <col min="2" max="2" width="15.109375" bestFit="1" customWidth="1"/>
    <col min="3" max="3" width="11.33203125" bestFit="1" customWidth="1"/>
  </cols>
  <sheetData>
    <row r="1" spans="1:3" x14ac:dyDescent="0.3">
      <c r="A1" t="s">
        <v>23</v>
      </c>
      <c r="B1" t="s">
        <v>38</v>
      </c>
      <c r="C1" t="s">
        <v>39</v>
      </c>
    </row>
    <row r="2" spans="1:3" x14ac:dyDescent="0.3">
      <c r="A2" t="s">
        <v>30</v>
      </c>
      <c r="B2" t="s">
        <v>40</v>
      </c>
      <c r="C2">
        <v>21.15</v>
      </c>
    </row>
    <row r="3" spans="1:3" x14ac:dyDescent="0.3">
      <c r="A3" t="s">
        <v>30</v>
      </c>
      <c r="B3" t="s">
        <v>41</v>
      </c>
      <c r="C3">
        <v>0.47</v>
      </c>
    </row>
    <row r="4" spans="1:3" x14ac:dyDescent="0.3">
      <c r="A4" t="s">
        <v>30</v>
      </c>
      <c r="B4" t="s">
        <v>42</v>
      </c>
      <c r="C4">
        <v>1.28</v>
      </c>
    </row>
    <row r="5" spans="1:3" x14ac:dyDescent="0.3">
      <c r="A5" t="s">
        <v>30</v>
      </c>
      <c r="B5" t="s">
        <v>43</v>
      </c>
      <c r="C5">
        <v>0</v>
      </c>
    </row>
    <row r="6" spans="1:3" x14ac:dyDescent="0.3">
      <c r="A6" t="s">
        <v>30</v>
      </c>
      <c r="B6" t="s">
        <v>44</v>
      </c>
      <c r="C6">
        <v>0</v>
      </c>
    </row>
    <row r="7" spans="1:3" x14ac:dyDescent="0.3">
      <c r="A7" t="s">
        <v>30</v>
      </c>
      <c r="B7" t="s">
        <v>45</v>
      </c>
      <c r="C7">
        <v>0</v>
      </c>
    </row>
    <row r="8" spans="1:3" x14ac:dyDescent="0.3">
      <c r="A8" t="s">
        <v>31</v>
      </c>
      <c r="B8" t="s">
        <v>46</v>
      </c>
      <c r="C8">
        <v>22</v>
      </c>
    </row>
    <row r="9" spans="1:3" x14ac:dyDescent="0.3">
      <c r="A9" t="s">
        <v>31</v>
      </c>
      <c r="B9" t="s">
        <v>40</v>
      </c>
      <c r="C9">
        <v>0</v>
      </c>
    </row>
    <row r="10" spans="1:3" x14ac:dyDescent="0.3">
      <c r="A10" t="s">
        <v>31</v>
      </c>
      <c r="B10" t="s">
        <v>41</v>
      </c>
      <c r="C10">
        <v>2.0790000000000002</v>
      </c>
    </row>
    <row r="11" spans="1:3" x14ac:dyDescent="0.3">
      <c r="A11" t="s">
        <v>31</v>
      </c>
      <c r="B11" t="s">
        <v>42</v>
      </c>
      <c r="C11">
        <v>0.39900000000000002</v>
      </c>
    </row>
    <row r="12" spans="1:3" x14ac:dyDescent="0.3">
      <c r="A12" t="s">
        <v>31</v>
      </c>
      <c r="B12" t="s">
        <v>45</v>
      </c>
      <c r="C12">
        <v>0.37800000000000011</v>
      </c>
    </row>
    <row r="13" spans="1:3" x14ac:dyDescent="0.3">
      <c r="A13" t="s">
        <v>32</v>
      </c>
      <c r="B13" t="s">
        <v>40</v>
      </c>
      <c r="C13">
        <v>21.15</v>
      </c>
    </row>
    <row r="14" spans="1:3" x14ac:dyDescent="0.3">
      <c r="A14" t="s">
        <v>32</v>
      </c>
      <c r="B14" t="s">
        <v>41</v>
      </c>
      <c r="C14">
        <v>4.13</v>
      </c>
    </row>
    <row r="15" spans="1:3" x14ac:dyDescent="0.3">
      <c r="A15" t="s">
        <v>32</v>
      </c>
      <c r="B15" t="s">
        <v>42</v>
      </c>
      <c r="C15">
        <v>1.28</v>
      </c>
    </row>
    <row r="16" spans="1:3" x14ac:dyDescent="0.3">
      <c r="A16" t="s">
        <v>32</v>
      </c>
      <c r="B16" t="s">
        <v>43</v>
      </c>
      <c r="C16">
        <v>0</v>
      </c>
    </row>
    <row r="17" spans="1:3" x14ac:dyDescent="0.3">
      <c r="A17" t="s">
        <v>32</v>
      </c>
      <c r="B17" t="s">
        <v>44</v>
      </c>
      <c r="C17">
        <v>0</v>
      </c>
    </row>
    <row r="18" spans="1:3" x14ac:dyDescent="0.3">
      <c r="A18" t="s">
        <v>32</v>
      </c>
      <c r="B18" t="s">
        <v>45</v>
      </c>
      <c r="C18">
        <v>0</v>
      </c>
    </row>
    <row r="19" spans="1:3" x14ac:dyDescent="0.3">
      <c r="A19" t="s">
        <v>33</v>
      </c>
      <c r="B19" t="s">
        <v>47</v>
      </c>
      <c r="C19">
        <v>0</v>
      </c>
    </row>
    <row r="20" spans="1:3" x14ac:dyDescent="0.3">
      <c r="A20" t="s">
        <v>33</v>
      </c>
      <c r="B20" t="s">
        <v>41</v>
      </c>
      <c r="C20">
        <v>5.76</v>
      </c>
    </row>
    <row r="21" spans="1:3" x14ac:dyDescent="0.3">
      <c r="A21" t="s">
        <v>33</v>
      </c>
      <c r="B21" t="s">
        <v>42</v>
      </c>
      <c r="C21">
        <v>0</v>
      </c>
    </row>
    <row r="22" spans="1:3" x14ac:dyDescent="0.3">
      <c r="A22" t="s">
        <v>33</v>
      </c>
      <c r="B22" t="s">
        <v>45</v>
      </c>
      <c r="C22">
        <v>0</v>
      </c>
    </row>
    <row r="23" spans="1:3" x14ac:dyDescent="0.3">
      <c r="A23" t="s">
        <v>33</v>
      </c>
      <c r="B23" t="s">
        <v>46</v>
      </c>
      <c r="C23">
        <v>0.41</v>
      </c>
    </row>
    <row r="24" spans="1:3" x14ac:dyDescent="0.3">
      <c r="A24" t="s">
        <v>34</v>
      </c>
      <c r="B24" t="s">
        <v>42</v>
      </c>
      <c r="C24">
        <v>13.97</v>
      </c>
    </row>
    <row r="25" spans="1:3" x14ac:dyDescent="0.3">
      <c r="A25" t="s">
        <v>34</v>
      </c>
      <c r="B25" t="s">
        <v>41</v>
      </c>
      <c r="C25">
        <v>2.0499999999999998</v>
      </c>
    </row>
    <row r="26" spans="1:3" x14ac:dyDescent="0.3">
      <c r="A26" t="s">
        <v>34</v>
      </c>
      <c r="B26" t="s">
        <v>40</v>
      </c>
      <c r="C26">
        <v>0.08</v>
      </c>
    </row>
    <row r="27" spans="1:3" x14ac:dyDescent="0.3">
      <c r="A27" t="s">
        <v>35</v>
      </c>
      <c r="B27" t="s">
        <v>48</v>
      </c>
      <c r="C27">
        <v>11.57</v>
      </c>
    </row>
    <row r="28" spans="1:3" x14ac:dyDescent="0.3">
      <c r="A28" t="s">
        <v>35</v>
      </c>
      <c r="B28" t="s">
        <v>41</v>
      </c>
      <c r="C28">
        <v>2.7</v>
      </c>
    </row>
    <row r="29" spans="1:3" x14ac:dyDescent="0.3">
      <c r="A29" t="s">
        <v>35</v>
      </c>
      <c r="B29" t="s">
        <v>42</v>
      </c>
      <c r="C29">
        <v>0</v>
      </c>
    </row>
    <row r="30" spans="1:3" x14ac:dyDescent="0.3">
      <c r="A30" t="s">
        <v>36</v>
      </c>
      <c r="B30" t="s">
        <v>46</v>
      </c>
      <c r="C30">
        <v>13.78</v>
      </c>
    </row>
    <row r="31" spans="1:3" x14ac:dyDescent="0.3">
      <c r="A31" t="s">
        <v>36</v>
      </c>
      <c r="B31" t="s">
        <v>41</v>
      </c>
      <c r="C31">
        <v>3</v>
      </c>
    </row>
    <row r="32" spans="1:3" x14ac:dyDescent="0.3">
      <c r="A32" t="s">
        <v>36</v>
      </c>
      <c r="B32" t="s">
        <v>42</v>
      </c>
      <c r="C32">
        <v>1.8</v>
      </c>
    </row>
    <row r="33" spans="1:34" x14ac:dyDescent="0.3">
      <c r="A33" t="s">
        <v>37</v>
      </c>
      <c r="B33" t="s">
        <v>42</v>
      </c>
      <c r="C33">
        <v>13.97</v>
      </c>
    </row>
    <row r="34" spans="1:34" x14ac:dyDescent="0.3">
      <c r="A34" t="s">
        <v>37</v>
      </c>
      <c r="B34" t="s">
        <v>41</v>
      </c>
      <c r="C34">
        <v>2.71</v>
      </c>
      <c r="AH34" t="s">
        <v>49</v>
      </c>
    </row>
    <row r="35" spans="1:34" x14ac:dyDescent="0.3">
      <c r="A35" t="s">
        <v>37</v>
      </c>
      <c r="B35" t="s">
        <v>40</v>
      </c>
      <c r="C35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11"/>
  <sheetViews>
    <sheetView topLeftCell="V1" workbookViewId="0">
      <selection activeCell="B5" sqref="B5:AW5"/>
    </sheetView>
  </sheetViews>
  <sheetFormatPr defaultRowHeight="14.4" x14ac:dyDescent="0.3"/>
  <sheetData>
    <row r="1" spans="1:49" x14ac:dyDescent="0.3">
      <c r="A1" t="s">
        <v>38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</row>
    <row r="2" spans="1:49" x14ac:dyDescent="0.3">
      <c r="A2" t="s">
        <v>40</v>
      </c>
      <c r="B2">
        <v>6.2</v>
      </c>
      <c r="C2">
        <v>6.2</v>
      </c>
      <c r="D2">
        <v>6.2</v>
      </c>
      <c r="E2">
        <v>6.2</v>
      </c>
      <c r="F2">
        <v>6.2</v>
      </c>
      <c r="G2">
        <v>6.2</v>
      </c>
      <c r="H2">
        <v>6.2</v>
      </c>
      <c r="I2">
        <v>6.2</v>
      </c>
      <c r="J2">
        <v>6.2</v>
      </c>
      <c r="K2">
        <v>6.2</v>
      </c>
      <c r="L2">
        <v>6.2</v>
      </c>
      <c r="M2">
        <v>6.2</v>
      </c>
      <c r="N2">
        <v>6.2</v>
      </c>
      <c r="O2">
        <v>6.2</v>
      </c>
      <c r="P2">
        <v>6.2</v>
      </c>
      <c r="Q2">
        <v>6.2</v>
      </c>
      <c r="R2">
        <v>6.2</v>
      </c>
      <c r="S2">
        <v>6.2</v>
      </c>
      <c r="T2">
        <v>6.2</v>
      </c>
      <c r="U2">
        <v>6.2</v>
      </c>
      <c r="V2">
        <v>6.2</v>
      </c>
      <c r="W2">
        <v>6.2</v>
      </c>
      <c r="X2">
        <v>6.2</v>
      </c>
      <c r="Y2">
        <v>6.2</v>
      </c>
      <c r="Z2">
        <v>6.2</v>
      </c>
      <c r="AA2">
        <v>6.2</v>
      </c>
      <c r="AB2">
        <v>6.2</v>
      </c>
      <c r="AC2">
        <v>6.2</v>
      </c>
      <c r="AD2">
        <v>6.2</v>
      </c>
      <c r="AE2">
        <v>6.2</v>
      </c>
      <c r="AF2">
        <v>6.2</v>
      </c>
      <c r="AG2">
        <v>6.2</v>
      </c>
      <c r="AH2">
        <v>6.2</v>
      </c>
      <c r="AI2">
        <v>6.2</v>
      </c>
      <c r="AJ2">
        <v>6.2</v>
      </c>
      <c r="AK2">
        <v>6.2</v>
      </c>
      <c r="AL2">
        <v>6.2</v>
      </c>
      <c r="AM2">
        <v>6.2</v>
      </c>
      <c r="AN2">
        <v>6.2</v>
      </c>
      <c r="AO2">
        <v>6.2</v>
      </c>
      <c r="AP2">
        <v>6.2</v>
      </c>
      <c r="AQ2">
        <v>6.2</v>
      </c>
      <c r="AR2">
        <v>6.2</v>
      </c>
      <c r="AS2">
        <v>6.2</v>
      </c>
      <c r="AT2">
        <v>6.2</v>
      </c>
      <c r="AU2">
        <v>6.2</v>
      </c>
      <c r="AV2">
        <v>6.2</v>
      </c>
      <c r="AW2">
        <v>6.2</v>
      </c>
    </row>
    <row r="3" spans="1:49" x14ac:dyDescent="0.3">
      <c r="A3" t="s">
        <v>46</v>
      </c>
      <c r="B3">
        <v>9.8000000000000007</v>
      </c>
      <c r="C3">
        <v>9.8000000000000007</v>
      </c>
      <c r="D3">
        <v>9.8000000000000007</v>
      </c>
      <c r="E3">
        <v>9.8000000000000007</v>
      </c>
      <c r="F3">
        <v>9.8000000000000007</v>
      </c>
      <c r="G3">
        <v>9.8000000000000007</v>
      </c>
      <c r="H3">
        <v>9.8000000000000007</v>
      </c>
      <c r="I3">
        <v>9.8000000000000007</v>
      </c>
      <c r="J3">
        <v>9.8000000000000007</v>
      </c>
      <c r="K3">
        <v>9.8000000000000007</v>
      </c>
      <c r="L3">
        <v>9.8000000000000007</v>
      </c>
      <c r="M3">
        <v>9.8000000000000007</v>
      </c>
      <c r="N3">
        <v>9.8000000000000007</v>
      </c>
      <c r="O3">
        <v>9.8000000000000007</v>
      </c>
      <c r="P3">
        <v>9.8000000000000007</v>
      </c>
      <c r="Q3">
        <v>9.8000000000000007</v>
      </c>
      <c r="R3">
        <v>9.8000000000000007</v>
      </c>
      <c r="S3">
        <v>9.8000000000000007</v>
      </c>
      <c r="T3">
        <v>9.8000000000000007</v>
      </c>
      <c r="U3">
        <v>9.8000000000000007</v>
      </c>
      <c r="V3">
        <v>9.8000000000000007</v>
      </c>
      <c r="W3">
        <v>9.8000000000000007</v>
      </c>
      <c r="X3">
        <v>9.8000000000000007</v>
      </c>
      <c r="Y3">
        <v>9.8000000000000007</v>
      </c>
      <c r="Z3">
        <v>9.8000000000000007</v>
      </c>
      <c r="AA3">
        <v>9.8000000000000007</v>
      </c>
      <c r="AB3">
        <v>9.8000000000000007</v>
      </c>
      <c r="AC3">
        <v>9.8000000000000007</v>
      </c>
      <c r="AD3">
        <v>9.8000000000000007</v>
      </c>
      <c r="AE3">
        <v>9.8000000000000007</v>
      </c>
      <c r="AF3">
        <v>9.8000000000000007</v>
      </c>
      <c r="AG3">
        <v>9.8000000000000007</v>
      </c>
      <c r="AH3">
        <v>9.8000000000000007</v>
      </c>
      <c r="AI3">
        <v>9.8000000000000007</v>
      </c>
      <c r="AJ3">
        <v>9.8000000000000007</v>
      </c>
      <c r="AK3">
        <v>9.8000000000000007</v>
      </c>
      <c r="AL3">
        <v>9.8000000000000007</v>
      </c>
      <c r="AM3">
        <v>9.8000000000000007</v>
      </c>
      <c r="AN3">
        <v>9.8000000000000007</v>
      </c>
      <c r="AO3">
        <v>9.8000000000000007</v>
      </c>
      <c r="AP3">
        <v>9.8000000000000007</v>
      </c>
      <c r="AQ3">
        <v>9.8000000000000007</v>
      </c>
      <c r="AR3">
        <v>9.8000000000000007</v>
      </c>
      <c r="AS3">
        <v>9.8000000000000007</v>
      </c>
      <c r="AT3">
        <v>9.8000000000000007</v>
      </c>
      <c r="AU3">
        <v>9.8000000000000007</v>
      </c>
      <c r="AV3">
        <v>9.8000000000000007</v>
      </c>
      <c r="AW3">
        <v>9.8000000000000007</v>
      </c>
    </row>
    <row r="4" spans="1:49" x14ac:dyDescent="0.3">
      <c r="A4" t="s">
        <v>43</v>
      </c>
      <c r="B4">
        <v>12</v>
      </c>
      <c r="C4">
        <v>12</v>
      </c>
      <c r="D4">
        <v>12</v>
      </c>
      <c r="E4">
        <v>12</v>
      </c>
      <c r="F4">
        <v>12</v>
      </c>
      <c r="G4">
        <v>12</v>
      </c>
      <c r="H4">
        <v>12</v>
      </c>
      <c r="I4">
        <v>12</v>
      </c>
      <c r="J4">
        <v>12</v>
      </c>
      <c r="K4">
        <v>12</v>
      </c>
      <c r="L4">
        <v>12</v>
      </c>
      <c r="M4">
        <v>12</v>
      </c>
      <c r="N4">
        <v>12</v>
      </c>
      <c r="O4">
        <v>12</v>
      </c>
      <c r="P4">
        <v>12</v>
      </c>
      <c r="Q4">
        <v>12</v>
      </c>
      <c r="R4">
        <v>12</v>
      </c>
      <c r="S4">
        <v>12</v>
      </c>
      <c r="T4">
        <v>12</v>
      </c>
      <c r="U4">
        <v>12</v>
      </c>
      <c r="V4">
        <v>12</v>
      </c>
      <c r="W4">
        <v>12</v>
      </c>
      <c r="X4">
        <v>12</v>
      </c>
      <c r="Y4">
        <v>12</v>
      </c>
      <c r="Z4">
        <v>12</v>
      </c>
      <c r="AA4">
        <v>12</v>
      </c>
      <c r="AB4">
        <v>12</v>
      </c>
      <c r="AC4">
        <v>12</v>
      </c>
      <c r="AD4">
        <v>12</v>
      </c>
      <c r="AE4">
        <v>12</v>
      </c>
      <c r="AF4">
        <v>12</v>
      </c>
      <c r="AG4">
        <v>12</v>
      </c>
      <c r="AH4">
        <v>12</v>
      </c>
      <c r="AI4">
        <v>12</v>
      </c>
      <c r="AJ4">
        <v>12</v>
      </c>
      <c r="AK4">
        <v>12</v>
      </c>
      <c r="AL4">
        <v>12</v>
      </c>
      <c r="AM4">
        <v>12</v>
      </c>
      <c r="AN4">
        <v>12</v>
      </c>
      <c r="AO4">
        <v>12</v>
      </c>
      <c r="AP4">
        <v>12</v>
      </c>
      <c r="AQ4">
        <v>12</v>
      </c>
      <c r="AR4">
        <v>12</v>
      </c>
      <c r="AS4">
        <v>12</v>
      </c>
      <c r="AT4">
        <v>12</v>
      </c>
      <c r="AU4">
        <v>12</v>
      </c>
      <c r="AV4">
        <v>12</v>
      </c>
      <c r="AW4">
        <v>12</v>
      </c>
    </row>
    <row r="5" spans="1:49" x14ac:dyDescent="0.3">
      <c r="A5" t="s">
        <v>41</v>
      </c>
      <c r="B5">
        <v>27.07</v>
      </c>
      <c r="C5">
        <v>27.07</v>
      </c>
      <c r="D5">
        <v>27.07</v>
      </c>
      <c r="E5">
        <v>27.07</v>
      </c>
      <c r="F5">
        <v>27.07</v>
      </c>
      <c r="G5">
        <v>27.07</v>
      </c>
      <c r="H5">
        <v>27.07</v>
      </c>
      <c r="I5">
        <v>27.07</v>
      </c>
      <c r="J5">
        <v>27.07</v>
      </c>
      <c r="K5">
        <v>27.07</v>
      </c>
      <c r="L5">
        <v>27.07</v>
      </c>
      <c r="M5">
        <v>27.07</v>
      </c>
      <c r="N5">
        <v>27.07</v>
      </c>
      <c r="O5">
        <v>27.07</v>
      </c>
      <c r="P5">
        <v>27.07</v>
      </c>
      <c r="Q5">
        <v>27.07</v>
      </c>
      <c r="R5">
        <v>27.07</v>
      </c>
      <c r="S5">
        <v>27.07</v>
      </c>
      <c r="T5">
        <v>27.07</v>
      </c>
      <c r="U5">
        <v>27.07</v>
      </c>
      <c r="V5">
        <v>27.07</v>
      </c>
      <c r="W5">
        <v>27.07</v>
      </c>
      <c r="X5">
        <v>27.07</v>
      </c>
      <c r="Y5">
        <v>27.07</v>
      </c>
      <c r="Z5">
        <v>27.07</v>
      </c>
      <c r="AA5">
        <v>27.07</v>
      </c>
      <c r="AB5">
        <v>27.07</v>
      </c>
      <c r="AC5">
        <v>27.07</v>
      </c>
      <c r="AD5">
        <v>27.07</v>
      </c>
      <c r="AE5">
        <v>27.07</v>
      </c>
      <c r="AF5">
        <v>27.07</v>
      </c>
      <c r="AG5">
        <v>27.07</v>
      </c>
      <c r="AH5">
        <v>27.07</v>
      </c>
      <c r="AI5">
        <v>27.07</v>
      </c>
      <c r="AJ5">
        <v>27.07</v>
      </c>
      <c r="AK5">
        <v>27.07</v>
      </c>
      <c r="AL5">
        <v>27.07</v>
      </c>
      <c r="AM5">
        <v>27.07</v>
      </c>
      <c r="AN5">
        <v>27.07</v>
      </c>
      <c r="AO5">
        <v>27.07</v>
      </c>
      <c r="AP5">
        <v>27.07</v>
      </c>
      <c r="AQ5">
        <v>27.07</v>
      </c>
      <c r="AR5">
        <v>27.07</v>
      </c>
      <c r="AS5">
        <v>27.07</v>
      </c>
      <c r="AT5">
        <v>27.07</v>
      </c>
      <c r="AU5">
        <v>27.07</v>
      </c>
      <c r="AV5">
        <v>27.07</v>
      </c>
      <c r="AW5">
        <v>27.07</v>
      </c>
    </row>
    <row r="6" spans="1:49" x14ac:dyDescent="0.3">
      <c r="A6" t="s">
        <v>42</v>
      </c>
      <c r="B6">
        <v>15.5</v>
      </c>
      <c r="C6">
        <v>15.5</v>
      </c>
      <c r="D6">
        <v>15.5</v>
      </c>
      <c r="E6">
        <v>15.5</v>
      </c>
      <c r="F6">
        <v>15.5</v>
      </c>
      <c r="G6">
        <v>15.5</v>
      </c>
      <c r="H6">
        <v>15.5</v>
      </c>
      <c r="I6">
        <v>15.5</v>
      </c>
      <c r="J6">
        <v>15.5</v>
      </c>
      <c r="K6">
        <v>15.5</v>
      </c>
      <c r="L6">
        <v>15.5</v>
      </c>
      <c r="M6">
        <v>15.5</v>
      </c>
      <c r="N6">
        <v>15.5</v>
      </c>
      <c r="O6">
        <v>15.5</v>
      </c>
      <c r="P6">
        <v>15.5</v>
      </c>
      <c r="Q6">
        <v>15.5</v>
      </c>
      <c r="R6">
        <v>15.5</v>
      </c>
      <c r="S6">
        <v>15.5</v>
      </c>
      <c r="T6">
        <v>15.5</v>
      </c>
      <c r="U6">
        <v>15.5</v>
      </c>
      <c r="V6">
        <v>15.5</v>
      </c>
      <c r="W6">
        <v>15.5</v>
      </c>
      <c r="X6">
        <v>15.5</v>
      </c>
      <c r="Y6">
        <v>15.5</v>
      </c>
      <c r="Z6">
        <v>15.5</v>
      </c>
      <c r="AA6">
        <v>15.5</v>
      </c>
      <c r="AB6">
        <v>15.5</v>
      </c>
      <c r="AC6">
        <v>15.5</v>
      </c>
      <c r="AD6">
        <v>15.5</v>
      </c>
      <c r="AE6">
        <v>15.5</v>
      </c>
      <c r="AF6">
        <v>15.5</v>
      </c>
      <c r="AG6">
        <v>15.5</v>
      </c>
      <c r="AH6">
        <v>15.5</v>
      </c>
      <c r="AI6">
        <v>15.5</v>
      </c>
      <c r="AJ6">
        <v>15.5</v>
      </c>
      <c r="AK6">
        <v>15.5</v>
      </c>
      <c r="AL6">
        <v>15.5</v>
      </c>
      <c r="AM6">
        <v>15.5</v>
      </c>
      <c r="AN6">
        <v>15.5</v>
      </c>
      <c r="AO6">
        <v>15.5</v>
      </c>
      <c r="AP6">
        <v>15.5</v>
      </c>
      <c r="AQ6">
        <v>15.5</v>
      </c>
      <c r="AR6">
        <v>15.5</v>
      </c>
      <c r="AS6">
        <v>15.5</v>
      </c>
      <c r="AT6">
        <v>15.5</v>
      </c>
      <c r="AU6">
        <v>15.5</v>
      </c>
      <c r="AV6">
        <v>15.5</v>
      </c>
      <c r="AW6">
        <v>15.5</v>
      </c>
    </row>
    <row r="7" spans="1:49" x14ac:dyDescent="0.3">
      <c r="A7" t="s">
        <v>48</v>
      </c>
      <c r="B7">
        <v>27</v>
      </c>
      <c r="C7">
        <v>27</v>
      </c>
      <c r="D7">
        <v>27</v>
      </c>
      <c r="E7">
        <v>27</v>
      </c>
      <c r="F7">
        <v>27</v>
      </c>
      <c r="G7">
        <v>27</v>
      </c>
      <c r="H7">
        <v>27</v>
      </c>
      <c r="I7">
        <v>27</v>
      </c>
      <c r="J7">
        <v>27</v>
      </c>
      <c r="K7">
        <v>27</v>
      </c>
      <c r="L7">
        <v>27</v>
      </c>
      <c r="M7">
        <v>27</v>
      </c>
      <c r="N7">
        <v>27</v>
      </c>
      <c r="O7">
        <v>27</v>
      </c>
      <c r="P7">
        <v>27</v>
      </c>
      <c r="Q7">
        <v>27</v>
      </c>
      <c r="R7">
        <v>27</v>
      </c>
      <c r="S7">
        <v>27</v>
      </c>
      <c r="T7">
        <v>27</v>
      </c>
      <c r="U7">
        <v>27</v>
      </c>
      <c r="V7">
        <v>27</v>
      </c>
      <c r="W7">
        <v>27</v>
      </c>
      <c r="X7">
        <v>27</v>
      </c>
      <c r="Y7">
        <v>27</v>
      </c>
      <c r="Z7">
        <v>27</v>
      </c>
      <c r="AA7">
        <v>27</v>
      </c>
      <c r="AB7">
        <v>27</v>
      </c>
      <c r="AC7">
        <v>27</v>
      </c>
      <c r="AD7">
        <v>27</v>
      </c>
      <c r="AE7">
        <v>27</v>
      </c>
      <c r="AF7">
        <v>27</v>
      </c>
      <c r="AG7">
        <v>27</v>
      </c>
      <c r="AH7">
        <v>27</v>
      </c>
      <c r="AI7">
        <v>27</v>
      </c>
      <c r="AJ7">
        <v>27</v>
      </c>
      <c r="AK7">
        <v>27</v>
      </c>
      <c r="AL7">
        <v>27</v>
      </c>
      <c r="AM7">
        <v>27</v>
      </c>
      <c r="AN7">
        <v>27</v>
      </c>
      <c r="AO7">
        <v>27</v>
      </c>
      <c r="AP7">
        <v>27</v>
      </c>
      <c r="AQ7">
        <v>27</v>
      </c>
      <c r="AR7">
        <v>27</v>
      </c>
      <c r="AS7">
        <v>27</v>
      </c>
      <c r="AT7">
        <v>27</v>
      </c>
      <c r="AU7">
        <v>27</v>
      </c>
      <c r="AV7">
        <v>27</v>
      </c>
      <c r="AW7">
        <v>27</v>
      </c>
    </row>
    <row r="8" spans="1:49" x14ac:dyDescent="0.3">
      <c r="A8" t="s">
        <v>98</v>
      </c>
      <c r="B8">
        <v>9.3000000000000007</v>
      </c>
      <c r="C8">
        <v>9.3000000000000007</v>
      </c>
      <c r="D8">
        <v>9.3000000000000007</v>
      </c>
      <c r="E8">
        <v>9.3000000000000007</v>
      </c>
      <c r="F8">
        <v>9.3000000000000007</v>
      </c>
      <c r="G8">
        <v>9.3000000000000007</v>
      </c>
      <c r="H8">
        <v>9.3000000000000007</v>
      </c>
      <c r="I8">
        <v>9.3000000000000007</v>
      </c>
      <c r="J8">
        <v>9.3000000000000007</v>
      </c>
      <c r="K8">
        <v>9.3000000000000007</v>
      </c>
      <c r="L8">
        <v>9.3000000000000007</v>
      </c>
      <c r="M8">
        <v>9.3000000000000007</v>
      </c>
      <c r="N8">
        <v>9.3000000000000007</v>
      </c>
      <c r="O8">
        <v>9.3000000000000007</v>
      </c>
      <c r="P8">
        <v>9.3000000000000007</v>
      </c>
      <c r="Q8">
        <v>9.3000000000000007</v>
      </c>
      <c r="R8">
        <v>9.3000000000000007</v>
      </c>
      <c r="S8">
        <v>9.3000000000000007</v>
      </c>
      <c r="T8">
        <v>9.3000000000000007</v>
      </c>
      <c r="U8">
        <v>9.3000000000000007</v>
      </c>
      <c r="V8">
        <v>9.3000000000000007</v>
      </c>
      <c r="W8">
        <v>9.3000000000000007</v>
      </c>
      <c r="X8">
        <v>9.3000000000000007</v>
      </c>
      <c r="Y8">
        <v>9.3000000000000007</v>
      </c>
      <c r="Z8">
        <v>9.3000000000000007</v>
      </c>
      <c r="AA8">
        <v>9.3000000000000007</v>
      </c>
      <c r="AB8">
        <v>9.3000000000000007</v>
      </c>
      <c r="AC8">
        <v>9.3000000000000007</v>
      </c>
      <c r="AD8">
        <v>9.3000000000000007</v>
      </c>
      <c r="AE8">
        <v>9.3000000000000007</v>
      </c>
      <c r="AF8">
        <v>9.3000000000000007</v>
      </c>
      <c r="AG8">
        <v>9.3000000000000007</v>
      </c>
      <c r="AH8">
        <v>9.3000000000000007</v>
      </c>
      <c r="AI8">
        <v>9.3000000000000007</v>
      </c>
      <c r="AJ8">
        <v>9.3000000000000007</v>
      </c>
      <c r="AK8">
        <v>9.3000000000000007</v>
      </c>
      <c r="AL8">
        <v>9.3000000000000007</v>
      </c>
      <c r="AM8">
        <v>9.3000000000000007</v>
      </c>
      <c r="AN8">
        <v>9.3000000000000007</v>
      </c>
      <c r="AO8">
        <v>9.3000000000000007</v>
      </c>
      <c r="AP8">
        <v>9.3000000000000007</v>
      </c>
      <c r="AQ8">
        <v>9.3000000000000007</v>
      </c>
      <c r="AR8">
        <v>9.3000000000000007</v>
      </c>
      <c r="AS8">
        <v>9.3000000000000007</v>
      </c>
      <c r="AT8">
        <v>9.3000000000000007</v>
      </c>
      <c r="AU8">
        <v>9.3000000000000007</v>
      </c>
      <c r="AV8">
        <v>9.3000000000000007</v>
      </c>
      <c r="AW8">
        <v>9.3000000000000007</v>
      </c>
    </row>
    <row r="9" spans="1:49" x14ac:dyDescent="0.3">
      <c r="A9" t="s">
        <v>47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3">
      <c r="A10" t="s">
        <v>45</v>
      </c>
      <c r="B10">
        <v>22</v>
      </c>
      <c r="C10">
        <v>22</v>
      </c>
      <c r="D10">
        <v>22</v>
      </c>
      <c r="E10">
        <v>22</v>
      </c>
      <c r="F10">
        <v>22</v>
      </c>
      <c r="G10">
        <v>22</v>
      </c>
      <c r="H10">
        <v>22</v>
      </c>
      <c r="I10">
        <v>22</v>
      </c>
      <c r="J10">
        <v>22</v>
      </c>
      <c r="K10">
        <v>22</v>
      </c>
      <c r="L10">
        <v>22</v>
      </c>
      <c r="M10">
        <v>22</v>
      </c>
      <c r="N10">
        <v>22</v>
      </c>
      <c r="O10">
        <v>22</v>
      </c>
      <c r="P10">
        <v>22</v>
      </c>
      <c r="Q10">
        <v>22</v>
      </c>
      <c r="R10">
        <v>22</v>
      </c>
      <c r="S10">
        <v>22</v>
      </c>
      <c r="T10">
        <v>22</v>
      </c>
      <c r="U10">
        <v>22</v>
      </c>
      <c r="V10">
        <v>22</v>
      </c>
      <c r="W10">
        <v>22</v>
      </c>
      <c r="X10">
        <v>22</v>
      </c>
      <c r="Y10">
        <v>22</v>
      </c>
      <c r="Z10">
        <v>22</v>
      </c>
      <c r="AA10">
        <v>22</v>
      </c>
      <c r="AB10">
        <v>22</v>
      </c>
      <c r="AC10">
        <v>22</v>
      </c>
      <c r="AD10">
        <v>22</v>
      </c>
      <c r="AE10">
        <v>22</v>
      </c>
      <c r="AF10">
        <v>22</v>
      </c>
      <c r="AG10">
        <v>22</v>
      </c>
      <c r="AH10">
        <v>22</v>
      </c>
      <c r="AI10">
        <v>22</v>
      </c>
      <c r="AJ10">
        <v>22</v>
      </c>
      <c r="AK10">
        <v>22</v>
      </c>
      <c r="AL10">
        <v>22</v>
      </c>
      <c r="AM10">
        <v>22</v>
      </c>
      <c r="AN10">
        <v>22</v>
      </c>
      <c r="AO10">
        <v>22</v>
      </c>
      <c r="AP10">
        <v>22</v>
      </c>
      <c r="AQ10">
        <v>22</v>
      </c>
      <c r="AR10">
        <v>22</v>
      </c>
      <c r="AS10">
        <v>22</v>
      </c>
      <c r="AT10">
        <v>22</v>
      </c>
      <c r="AU10">
        <v>22</v>
      </c>
      <c r="AV10">
        <v>22</v>
      </c>
      <c r="AW10">
        <v>22</v>
      </c>
    </row>
    <row r="11" spans="1:49" x14ac:dyDescent="0.3">
      <c r="A11" t="s">
        <v>44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  <c r="V11">
        <v>10</v>
      </c>
      <c r="W11">
        <v>10</v>
      </c>
      <c r="X11">
        <v>10</v>
      </c>
      <c r="Y11">
        <v>10</v>
      </c>
      <c r="Z11">
        <v>10</v>
      </c>
      <c r="AA11">
        <v>10</v>
      </c>
      <c r="AB11">
        <v>10</v>
      </c>
      <c r="AC11">
        <v>10</v>
      </c>
      <c r="AD11">
        <v>10</v>
      </c>
      <c r="AE11">
        <v>10</v>
      </c>
      <c r="AF11">
        <v>10</v>
      </c>
      <c r="AG11">
        <v>10</v>
      </c>
      <c r="AH11">
        <v>10</v>
      </c>
      <c r="AI11">
        <v>10</v>
      </c>
      <c r="AJ11">
        <v>10</v>
      </c>
      <c r="AK11">
        <v>10</v>
      </c>
      <c r="AL11">
        <v>10</v>
      </c>
      <c r="AM11">
        <v>10</v>
      </c>
      <c r="AN11">
        <v>10</v>
      </c>
      <c r="AO11">
        <v>10</v>
      </c>
      <c r="AP11">
        <v>10</v>
      </c>
      <c r="AQ11">
        <v>10</v>
      </c>
      <c r="AR11">
        <v>10</v>
      </c>
      <c r="AS11">
        <v>10</v>
      </c>
      <c r="AT11">
        <v>10</v>
      </c>
      <c r="AU11">
        <v>10</v>
      </c>
      <c r="AV11">
        <v>10</v>
      </c>
      <c r="AW11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4.4" x14ac:dyDescent="0.3"/>
  <sheetData>
    <row r="1" spans="1:3" x14ac:dyDescent="0.3">
      <c r="A1" t="s">
        <v>38</v>
      </c>
      <c r="B1" t="s">
        <v>99</v>
      </c>
      <c r="C1" t="s">
        <v>100</v>
      </c>
    </row>
    <row r="2" spans="1:3" x14ac:dyDescent="0.3">
      <c r="A2" t="s">
        <v>40</v>
      </c>
      <c r="B2">
        <v>9.5000000000000001E-2</v>
      </c>
      <c r="C2" t="s">
        <v>101</v>
      </c>
    </row>
    <row r="3" spans="1:3" x14ac:dyDescent="0.3">
      <c r="A3" t="s">
        <v>46</v>
      </c>
      <c r="B3">
        <v>0</v>
      </c>
      <c r="C3" t="s">
        <v>102</v>
      </c>
    </row>
    <row r="4" spans="1:3" x14ac:dyDescent="0.3">
      <c r="A4" t="s">
        <v>43</v>
      </c>
      <c r="B4">
        <v>0.106</v>
      </c>
      <c r="C4" t="s">
        <v>101</v>
      </c>
    </row>
    <row r="5" spans="1:3" x14ac:dyDescent="0.3">
      <c r="A5" t="s">
        <v>41</v>
      </c>
      <c r="B5">
        <v>0</v>
      </c>
      <c r="C5" t="s">
        <v>103</v>
      </c>
    </row>
    <row r="6" spans="1:3" x14ac:dyDescent="0.3">
      <c r="A6" t="s">
        <v>42</v>
      </c>
      <c r="B6">
        <v>5.6099999999999997E-2</v>
      </c>
      <c r="C6" t="s">
        <v>104</v>
      </c>
    </row>
    <row r="7" spans="1:3" x14ac:dyDescent="0.3">
      <c r="A7" t="s">
        <v>48</v>
      </c>
      <c r="B7">
        <v>0</v>
      </c>
      <c r="C7" t="s">
        <v>105</v>
      </c>
    </row>
    <row r="8" spans="1:3" x14ac:dyDescent="0.3">
      <c r="A8" t="s">
        <v>98</v>
      </c>
      <c r="B8">
        <v>7.7399999999999997E-2</v>
      </c>
      <c r="C8" t="s">
        <v>104</v>
      </c>
    </row>
    <row r="9" spans="1:3" x14ac:dyDescent="0.3">
      <c r="A9" t="s">
        <v>47</v>
      </c>
      <c r="B9">
        <v>0</v>
      </c>
      <c r="C9" t="s">
        <v>106</v>
      </c>
    </row>
    <row r="10" spans="1:3" x14ac:dyDescent="0.3">
      <c r="A10" t="s">
        <v>45</v>
      </c>
      <c r="B10">
        <v>7.4099999999999999E-2</v>
      </c>
    </row>
    <row r="11" spans="1:3" x14ac:dyDescent="0.3">
      <c r="A11" t="s">
        <v>44</v>
      </c>
      <c r="B11">
        <v>4.4400000000000002E-2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9"/>
  <sheetViews>
    <sheetView topLeftCell="A18" workbookViewId="0">
      <selection activeCell="B36" sqref="B36"/>
    </sheetView>
  </sheetViews>
  <sheetFormatPr defaultRowHeight="14.4" x14ac:dyDescent="0.3"/>
  <cols>
    <col min="2" max="2" width="14.33203125" bestFit="1" customWidth="1"/>
  </cols>
  <sheetData>
    <row r="1" spans="1:2" x14ac:dyDescent="0.3">
      <c r="A1" t="s">
        <v>107</v>
      </c>
      <c r="B1" t="s">
        <v>108</v>
      </c>
    </row>
    <row r="2" spans="1:2" x14ac:dyDescent="0.3">
      <c r="A2">
        <v>2023</v>
      </c>
      <c r="B2" s="1">
        <v>54000000</v>
      </c>
    </row>
    <row r="3" spans="1:2" x14ac:dyDescent="0.3">
      <c r="A3">
        <v>2024</v>
      </c>
      <c r="B3" s="1">
        <v>54000000</v>
      </c>
    </row>
    <row r="4" spans="1:2" x14ac:dyDescent="0.3">
      <c r="A4">
        <v>2025</v>
      </c>
      <c r="B4" s="1">
        <v>54000000</v>
      </c>
    </row>
    <row r="5" spans="1:2" x14ac:dyDescent="0.3">
      <c r="A5">
        <v>2026</v>
      </c>
      <c r="B5" s="1">
        <v>54000000</v>
      </c>
    </row>
    <row r="6" spans="1:2" x14ac:dyDescent="0.3">
      <c r="A6">
        <v>2027</v>
      </c>
      <c r="B6" s="1">
        <v>54000000</v>
      </c>
    </row>
    <row r="7" spans="1:2" x14ac:dyDescent="0.3">
      <c r="A7">
        <v>2028</v>
      </c>
      <c r="B7" s="1">
        <v>54000000</v>
      </c>
    </row>
    <row r="8" spans="1:2" x14ac:dyDescent="0.3">
      <c r="A8">
        <v>2029</v>
      </c>
      <c r="B8" s="1">
        <v>54000000</v>
      </c>
    </row>
    <row r="9" spans="1:2" x14ac:dyDescent="0.3">
      <c r="A9">
        <v>2030</v>
      </c>
      <c r="B9" s="1">
        <v>54000000</v>
      </c>
    </row>
    <row r="10" spans="1:2" x14ac:dyDescent="0.3">
      <c r="A10">
        <v>2031</v>
      </c>
      <c r="B10" s="1">
        <v>54000000</v>
      </c>
    </row>
    <row r="11" spans="1:2" x14ac:dyDescent="0.3">
      <c r="A11">
        <v>2032</v>
      </c>
      <c r="B11" s="1">
        <v>54000000</v>
      </c>
    </row>
    <row r="12" spans="1:2" x14ac:dyDescent="0.3">
      <c r="A12">
        <v>2033</v>
      </c>
      <c r="B12" s="1">
        <v>54000000</v>
      </c>
    </row>
    <row r="13" spans="1:2" x14ac:dyDescent="0.3">
      <c r="A13">
        <v>2034</v>
      </c>
      <c r="B13" s="1">
        <f t="shared" ref="B13:B27" si="0">B12-($B$12-$B$29)/COUNT($A$12:$A$29)</f>
        <v>52666666.666666664</v>
      </c>
    </row>
    <row r="14" spans="1:2" x14ac:dyDescent="0.3">
      <c r="A14">
        <v>2035</v>
      </c>
      <c r="B14" s="1">
        <f t="shared" si="0"/>
        <v>51333333.333333328</v>
      </c>
    </row>
    <row r="15" spans="1:2" x14ac:dyDescent="0.3">
      <c r="A15">
        <v>2036</v>
      </c>
      <c r="B15" s="1">
        <f t="shared" si="0"/>
        <v>49999999.999999993</v>
      </c>
    </row>
    <row r="16" spans="1:2" x14ac:dyDescent="0.3">
      <c r="A16">
        <v>2037</v>
      </c>
      <c r="B16" s="1">
        <f t="shared" si="0"/>
        <v>48666666.666666657</v>
      </c>
    </row>
    <row r="17" spans="1:2" x14ac:dyDescent="0.3">
      <c r="A17">
        <v>2038</v>
      </c>
      <c r="B17" s="1">
        <f t="shared" si="0"/>
        <v>47333333.333333321</v>
      </c>
    </row>
    <row r="18" spans="1:2" x14ac:dyDescent="0.3">
      <c r="A18">
        <v>2039</v>
      </c>
      <c r="B18" s="1">
        <f t="shared" si="0"/>
        <v>45999999.999999985</v>
      </c>
    </row>
    <row r="19" spans="1:2" x14ac:dyDescent="0.3">
      <c r="A19">
        <v>2040</v>
      </c>
      <c r="B19" s="1">
        <f t="shared" si="0"/>
        <v>44666666.666666649</v>
      </c>
    </row>
    <row r="20" spans="1:2" x14ac:dyDescent="0.3">
      <c r="A20">
        <v>2041</v>
      </c>
      <c r="B20" s="1">
        <f t="shared" si="0"/>
        <v>43333333.333333313</v>
      </c>
    </row>
    <row r="21" spans="1:2" x14ac:dyDescent="0.3">
      <c r="A21">
        <v>2042</v>
      </c>
      <c r="B21" s="1">
        <f t="shared" si="0"/>
        <v>41999999.999999978</v>
      </c>
    </row>
    <row r="22" spans="1:2" x14ac:dyDescent="0.3">
      <c r="A22">
        <v>2043</v>
      </c>
      <c r="B22" s="1">
        <f t="shared" si="0"/>
        <v>40666666.666666642</v>
      </c>
    </row>
    <row r="23" spans="1:2" x14ac:dyDescent="0.3">
      <c r="A23">
        <v>2044</v>
      </c>
      <c r="B23" s="1">
        <f t="shared" si="0"/>
        <v>39333333.333333306</v>
      </c>
    </row>
    <row r="24" spans="1:2" x14ac:dyDescent="0.3">
      <c r="A24">
        <v>2045</v>
      </c>
      <c r="B24" s="1">
        <f t="shared" si="0"/>
        <v>37999999.99999997</v>
      </c>
    </row>
    <row r="25" spans="1:2" x14ac:dyDescent="0.3">
      <c r="A25">
        <v>2046</v>
      </c>
      <c r="B25" s="1">
        <f t="shared" si="0"/>
        <v>36666666.666666634</v>
      </c>
    </row>
    <row r="26" spans="1:2" x14ac:dyDescent="0.3">
      <c r="A26">
        <v>2047</v>
      </c>
      <c r="B26" s="1">
        <f t="shared" si="0"/>
        <v>35333333.333333299</v>
      </c>
    </row>
    <row r="27" spans="1:2" x14ac:dyDescent="0.3">
      <c r="A27">
        <v>2048</v>
      </c>
      <c r="B27" s="1">
        <f t="shared" si="0"/>
        <v>33999999.999999963</v>
      </c>
    </row>
    <row r="28" spans="1:2" x14ac:dyDescent="0.3">
      <c r="A28">
        <v>2049</v>
      </c>
      <c r="B28" s="1">
        <f>B27-($B$12-$B$29)/COUNT($A$12:$A$29)</f>
        <v>32666666.666666631</v>
      </c>
    </row>
    <row r="29" spans="1:2" x14ac:dyDescent="0.3">
      <c r="A29">
        <v>2050</v>
      </c>
      <c r="B29" s="1">
        <v>30000000</v>
      </c>
    </row>
    <row r="30" spans="1:2" x14ac:dyDescent="0.3">
      <c r="A30">
        <v>2051</v>
      </c>
      <c r="B30" s="1">
        <f>B29-($B$29-$B$49)/COUNT($A$29:$A$49)</f>
        <v>29523809.523809522</v>
      </c>
    </row>
    <row r="31" spans="1:2" x14ac:dyDescent="0.3">
      <c r="A31">
        <v>2052</v>
      </c>
      <c r="B31" s="1">
        <f t="shared" ref="B31:B48" si="1">B30-($B$29-$B$49)/COUNT($A$29:$A$49)</f>
        <v>29047619.047619045</v>
      </c>
    </row>
    <row r="32" spans="1:2" x14ac:dyDescent="0.3">
      <c r="A32">
        <v>2053</v>
      </c>
      <c r="B32" s="1">
        <f t="shared" si="1"/>
        <v>28571428.571428567</v>
      </c>
    </row>
    <row r="33" spans="1:2" x14ac:dyDescent="0.3">
      <c r="A33">
        <v>2054</v>
      </c>
      <c r="B33" s="1">
        <f t="shared" si="1"/>
        <v>28095238.09523809</v>
      </c>
    </row>
    <row r="34" spans="1:2" x14ac:dyDescent="0.3">
      <c r="A34">
        <v>2055</v>
      </c>
      <c r="B34" s="1">
        <f t="shared" si="1"/>
        <v>27619047.619047612</v>
      </c>
    </row>
    <row r="35" spans="1:2" x14ac:dyDescent="0.3">
      <c r="A35">
        <v>2056</v>
      </c>
      <c r="B35" s="1">
        <f t="shared" si="1"/>
        <v>27142857.142857134</v>
      </c>
    </row>
    <row r="36" spans="1:2" x14ac:dyDescent="0.3">
      <c r="A36">
        <v>2057</v>
      </c>
      <c r="B36" s="1">
        <f t="shared" si="1"/>
        <v>26666666.666666657</v>
      </c>
    </row>
    <row r="37" spans="1:2" x14ac:dyDescent="0.3">
      <c r="A37">
        <v>2058</v>
      </c>
      <c r="B37" s="1">
        <f t="shared" si="1"/>
        <v>26190476.190476179</v>
      </c>
    </row>
    <row r="38" spans="1:2" x14ac:dyDescent="0.3">
      <c r="A38">
        <v>2059</v>
      </c>
      <c r="B38" s="1">
        <f t="shared" si="1"/>
        <v>25714285.714285702</v>
      </c>
    </row>
    <row r="39" spans="1:2" x14ac:dyDescent="0.3">
      <c r="A39">
        <v>2060</v>
      </c>
      <c r="B39" s="1">
        <f t="shared" si="1"/>
        <v>25238095.238095224</v>
      </c>
    </row>
    <row r="40" spans="1:2" x14ac:dyDescent="0.3">
      <c r="A40">
        <v>2061</v>
      </c>
      <c r="B40" s="1">
        <f t="shared" si="1"/>
        <v>24761904.761904746</v>
      </c>
    </row>
    <row r="41" spans="1:2" x14ac:dyDescent="0.3">
      <c r="A41">
        <v>2062</v>
      </c>
      <c r="B41" s="1">
        <f t="shared" si="1"/>
        <v>24285714.285714269</v>
      </c>
    </row>
    <row r="42" spans="1:2" x14ac:dyDescent="0.3">
      <c r="A42">
        <v>2063</v>
      </c>
      <c r="B42" s="1">
        <f t="shared" si="1"/>
        <v>23809523.809523791</v>
      </c>
    </row>
    <row r="43" spans="1:2" x14ac:dyDescent="0.3">
      <c r="A43">
        <v>2064</v>
      </c>
      <c r="B43" s="1">
        <f t="shared" si="1"/>
        <v>23333333.333333313</v>
      </c>
    </row>
    <row r="44" spans="1:2" x14ac:dyDescent="0.3">
      <c r="A44">
        <v>2065</v>
      </c>
      <c r="B44" s="1">
        <f t="shared" si="1"/>
        <v>22857142.857142836</v>
      </c>
    </row>
    <row r="45" spans="1:2" x14ac:dyDescent="0.3">
      <c r="A45">
        <v>2066</v>
      </c>
      <c r="B45" s="1">
        <f t="shared" si="1"/>
        <v>22380952.380952358</v>
      </c>
    </row>
    <row r="46" spans="1:2" x14ac:dyDescent="0.3">
      <c r="A46">
        <v>2067</v>
      </c>
      <c r="B46" s="1">
        <f t="shared" si="1"/>
        <v>21904761.904761881</v>
      </c>
    </row>
    <row r="47" spans="1:2" x14ac:dyDescent="0.3">
      <c r="A47">
        <v>2068</v>
      </c>
      <c r="B47" s="1">
        <f t="shared" si="1"/>
        <v>21428571.428571403</v>
      </c>
    </row>
    <row r="48" spans="1:2" x14ac:dyDescent="0.3">
      <c r="A48">
        <v>2069</v>
      </c>
      <c r="B48" s="1">
        <f t="shared" si="1"/>
        <v>20952380.952380925</v>
      </c>
    </row>
    <row r="49" spans="1:2" x14ac:dyDescent="0.3">
      <c r="A49">
        <v>2070</v>
      </c>
      <c r="B49" s="1">
        <v>20000000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9"/>
  <sheetViews>
    <sheetView topLeftCell="A13" workbookViewId="0"/>
  </sheetViews>
  <sheetFormatPr defaultRowHeight="14.4" x14ac:dyDescent="0.3"/>
  <sheetData>
    <row r="1" spans="1:2" x14ac:dyDescent="0.3">
      <c r="A1" t="s">
        <v>107</v>
      </c>
      <c r="B1" t="s">
        <v>109</v>
      </c>
    </row>
    <row r="2" spans="1:2" x14ac:dyDescent="0.3">
      <c r="A2">
        <v>2023</v>
      </c>
      <c r="B2">
        <v>32300</v>
      </c>
    </row>
    <row r="3" spans="1:2" x14ac:dyDescent="0.3">
      <c r="A3">
        <v>2024</v>
      </c>
      <c r="B3">
        <v>33325.925925925927</v>
      </c>
    </row>
    <row r="4" spans="1:2" x14ac:dyDescent="0.3">
      <c r="A4">
        <v>2025</v>
      </c>
      <c r="B4">
        <v>34351.851851851847</v>
      </c>
    </row>
    <row r="5" spans="1:2" x14ac:dyDescent="0.3">
      <c r="A5">
        <v>2026</v>
      </c>
      <c r="B5">
        <v>35377.777777777781</v>
      </c>
    </row>
    <row r="6" spans="1:2" x14ac:dyDescent="0.3">
      <c r="A6">
        <v>2027</v>
      </c>
      <c r="B6">
        <v>36403.703703703708</v>
      </c>
    </row>
    <row r="7" spans="1:2" x14ac:dyDescent="0.3">
      <c r="A7">
        <v>2028</v>
      </c>
      <c r="B7">
        <v>37429.629629629642</v>
      </c>
    </row>
    <row r="8" spans="1:2" x14ac:dyDescent="0.3">
      <c r="A8">
        <v>2029</v>
      </c>
      <c r="B8">
        <v>38455.555555555562</v>
      </c>
    </row>
    <row r="9" spans="1:2" x14ac:dyDescent="0.3">
      <c r="A9">
        <v>2030</v>
      </c>
      <c r="B9">
        <v>39481.481481481489</v>
      </c>
    </row>
    <row r="10" spans="1:2" x14ac:dyDescent="0.3">
      <c r="A10">
        <v>2031</v>
      </c>
      <c r="B10">
        <v>40507.407407407423</v>
      </c>
    </row>
    <row r="11" spans="1:2" x14ac:dyDescent="0.3">
      <c r="A11">
        <v>2032</v>
      </c>
      <c r="B11">
        <v>41533.333333333343</v>
      </c>
    </row>
    <row r="12" spans="1:2" x14ac:dyDescent="0.3">
      <c r="A12">
        <v>2033</v>
      </c>
      <c r="B12">
        <v>42559.25925925927</v>
      </c>
    </row>
    <row r="13" spans="1:2" x14ac:dyDescent="0.3">
      <c r="A13">
        <v>2034</v>
      </c>
      <c r="B13">
        <v>43585.185185185197</v>
      </c>
    </row>
    <row r="14" spans="1:2" x14ac:dyDescent="0.3">
      <c r="A14">
        <v>2035</v>
      </c>
      <c r="B14">
        <v>44611.111111111117</v>
      </c>
    </row>
    <row r="15" spans="1:2" x14ac:dyDescent="0.3">
      <c r="A15">
        <v>2036</v>
      </c>
      <c r="B15">
        <v>45637.037037037051</v>
      </c>
    </row>
    <row r="16" spans="1:2" x14ac:dyDescent="0.3">
      <c r="A16">
        <v>2037</v>
      </c>
      <c r="B16">
        <v>46662.962962962978</v>
      </c>
    </row>
    <row r="17" spans="1:2" x14ac:dyDescent="0.3">
      <c r="A17">
        <v>2038</v>
      </c>
      <c r="B17">
        <v>47688.888888888912</v>
      </c>
    </row>
    <row r="18" spans="1:2" x14ac:dyDescent="0.3">
      <c r="A18">
        <v>2039</v>
      </c>
      <c r="B18">
        <v>48714.814814814832</v>
      </c>
    </row>
    <row r="19" spans="1:2" x14ac:dyDescent="0.3">
      <c r="A19">
        <v>2040</v>
      </c>
      <c r="B19">
        <v>49740.740740740759</v>
      </c>
    </row>
    <row r="20" spans="1:2" x14ac:dyDescent="0.3">
      <c r="A20">
        <v>2041</v>
      </c>
      <c r="B20">
        <v>50766.666666666693</v>
      </c>
    </row>
    <row r="21" spans="1:2" x14ac:dyDescent="0.3">
      <c r="A21">
        <v>2042</v>
      </c>
      <c r="B21">
        <v>51792.592592592613</v>
      </c>
    </row>
    <row r="22" spans="1:2" x14ac:dyDescent="0.3">
      <c r="A22">
        <v>2043</v>
      </c>
      <c r="B22">
        <v>52818.51851851854</v>
      </c>
    </row>
    <row r="23" spans="1:2" x14ac:dyDescent="0.3">
      <c r="A23">
        <v>2044</v>
      </c>
      <c r="B23">
        <v>53844.444444444467</v>
      </c>
    </row>
    <row r="24" spans="1:2" x14ac:dyDescent="0.3">
      <c r="A24">
        <v>2045</v>
      </c>
      <c r="B24">
        <v>54870.370370370387</v>
      </c>
    </row>
    <row r="25" spans="1:2" x14ac:dyDescent="0.3">
      <c r="A25">
        <v>2046</v>
      </c>
      <c r="B25">
        <v>55896.296296296321</v>
      </c>
    </row>
    <row r="26" spans="1:2" x14ac:dyDescent="0.3">
      <c r="A26">
        <v>2047</v>
      </c>
      <c r="B26">
        <v>56922.222222222248</v>
      </c>
    </row>
    <row r="27" spans="1:2" x14ac:dyDescent="0.3">
      <c r="A27">
        <v>2048</v>
      </c>
      <c r="B27">
        <v>57948.148148148182</v>
      </c>
    </row>
    <row r="28" spans="1:2" x14ac:dyDescent="0.3">
      <c r="A28">
        <v>2049</v>
      </c>
      <c r="B28">
        <v>58974.074074074102</v>
      </c>
    </row>
    <row r="29" spans="1:2" x14ac:dyDescent="0.3">
      <c r="A29">
        <v>2050</v>
      </c>
      <c r="B29">
        <v>60000</v>
      </c>
    </row>
    <row r="30" spans="1:2" x14ac:dyDescent="0.3">
      <c r="A30">
        <v>2051</v>
      </c>
      <c r="B30">
        <v>61025.925925925927</v>
      </c>
    </row>
    <row r="31" spans="1:2" x14ac:dyDescent="0.3">
      <c r="A31">
        <v>2052</v>
      </c>
      <c r="B31">
        <v>62051.851851851847</v>
      </c>
    </row>
    <row r="32" spans="1:2" x14ac:dyDescent="0.3">
      <c r="A32">
        <v>2053</v>
      </c>
      <c r="B32">
        <v>63077.777777777781</v>
      </c>
    </row>
    <row r="33" spans="1:2" x14ac:dyDescent="0.3">
      <c r="A33">
        <v>2054</v>
      </c>
      <c r="B33">
        <v>64103.703703703701</v>
      </c>
    </row>
    <row r="34" spans="1:2" x14ac:dyDescent="0.3">
      <c r="A34">
        <v>2055</v>
      </c>
      <c r="B34">
        <v>65129.629629629628</v>
      </c>
    </row>
    <row r="35" spans="1:2" x14ac:dyDescent="0.3">
      <c r="A35">
        <v>2056</v>
      </c>
      <c r="B35">
        <v>66155.555555555562</v>
      </c>
    </row>
    <row r="36" spans="1:2" x14ac:dyDescent="0.3">
      <c r="A36">
        <v>2057</v>
      </c>
      <c r="B36">
        <v>67181.481481481474</v>
      </c>
    </row>
    <row r="37" spans="1:2" x14ac:dyDescent="0.3">
      <c r="A37">
        <v>2058</v>
      </c>
      <c r="B37">
        <v>68207.407407407401</v>
      </c>
    </row>
    <row r="38" spans="1:2" x14ac:dyDescent="0.3">
      <c r="A38">
        <v>2059</v>
      </c>
      <c r="B38">
        <v>69233.333333333328</v>
      </c>
    </row>
    <row r="39" spans="1:2" x14ac:dyDescent="0.3">
      <c r="A39">
        <v>2060</v>
      </c>
      <c r="B39">
        <v>70259.259259259255</v>
      </c>
    </row>
    <row r="40" spans="1:2" x14ac:dyDescent="0.3">
      <c r="A40">
        <v>2061</v>
      </c>
      <c r="B40">
        <v>71285.185185185182</v>
      </c>
    </row>
    <row r="41" spans="1:2" x14ac:dyDescent="0.3">
      <c r="A41">
        <v>2062</v>
      </c>
      <c r="B41">
        <v>72311.111111111109</v>
      </c>
    </row>
    <row r="42" spans="1:2" x14ac:dyDescent="0.3">
      <c r="A42">
        <v>2063</v>
      </c>
      <c r="B42">
        <v>73337.037037037036</v>
      </c>
    </row>
    <row r="43" spans="1:2" x14ac:dyDescent="0.3">
      <c r="A43">
        <v>2064</v>
      </c>
      <c r="B43">
        <v>74362.962962962964</v>
      </c>
    </row>
    <row r="44" spans="1:2" x14ac:dyDescent="0.3">
      <c r="A44">
        <v>2065</v>
      </c>
      <c r="B44">
        <v>75388.888888888891</v>
      </c>
    </row>
    <row r="45" spans="1:2" x14ac:dyDescent="0.3">
      <c r="A45">
        <v>2066</v>
      </c>
      <c r="B45">
        <v>76414.814814814818</v>
      </c>
    </row>
    <row r="46" spans="1:2" x14ac:dyDescent="0.3">
      <c r="A46">
        <v>2067</v>
      </c>
      <c r="B46">
        <v>77440.740740740745</v>
      </c>
    </row>
    <row r="47" spans="1:2" x14ac:dyDescent="0.3">
      <c r="A47">
        <v>2068</v>
      </c>
      <c r="B47">
        <v>78466.666666666657</v>
      </c>
    </row>
    <row r="48" spans="1:2" x14ac:dyDescent="0.3">
      <c r="A48">
        <v>2069</v>
      </c>
      <c r="B48">
        <v>79492.592592592584</v>
      </c>
    </row>
    <row r="49" spans="1:2" x14ac:dyDescent="0.3">
      <c r="A49">
        <v>2070</v>
      </c>
      <c r="B49">
        <v>80518.518518518511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9"/>
  <sheetViews>
    <sheetView workbookViewId="0"/>
  </sheetViews>
  <sheetFormatPr defaultRowHeight="14.4" x14ac:dyDescent="0.3"/>
  <sheetData>
    <row r="1" spans="1:2" x14ac:dyDescent="0.3">
      <c r="A1" t="s">
        <v>107</v>
      </c>
      <c r="B1" t="s">
        <v>110</v>
      </c>
    </row>
    <row r="2" spans="1:2" x14ac:dyDescent="0.3">
      <c r="A2">
        <v>2023</v>
      </c>
      <c r="B2">
        <v>8585.9546279999995</v>
      </c>
    </row>
    <row r="3" spans="1:2" x14ac:dyDescent="0.3">
      <c r="A3">
        <v>2024</v>
      </c>
      <c r="B3">
        <v>9146.3456559999995</v>
      </c>
    </row>
    <row r="4" spans="1:2" x14ac:dyDescent="0.3">
      <c r="A4">
        <v>2025</v>
      </c>
      <c r="B4">
        <v>9346.3571019999999</v>
      </c>
    </row>
    <row r="5" spans="1:2" x14ac:dyDescent="0.3">
      <c r="A5">
        <v>2026</v>
      </c>
      <c r="B5">
        <v>9544.9016900000006</v>
      </c>
    </row>
    <row r="6" spans="1:2" x14ac:dyDescent="0.3">
      <c r="A6">
        <v>2027</v>
      </c>
      <c r="B6">
        <v>9936.4921429999995</v>
      </c>
    </row>
    <row r="7" spans="1:2" x14ac:dyDescent="0.3">
      <c r="A7">
        <v>2028</v>
      </c>
      <c r="B7">
        <v>10471.211719999999</v>
      </c>
    </row>
    <row r="8" spans="1:2" x14ac:dyDescent="0.3">
      <c r="A8">
        <v>2029</v>
      </c>
      <c r="B8">
        <v>10324.518760000001</v>
      </c>
    </row>
    <row r="9" spans="1:2" x14ac:dyDescent="0.3">
      <c r="A9">
        <v>2030</v>
      </c>
      <c r="B9">
        <v>11030.79168</v>
      </c>
    </row>
    <row r="10" spans="1:2" x14ac:dyDescent="0.3">
      <c r="A10">
        <v>2031</v>
      </c>
      <c r="B10">
        <v>11199.37595</v>
      </c>
    </row>
    <row r="11" spans="1:2" x14ac:dyDescent="0.3">
      <c r="A11">
        <v>2032</v>
      </c>
      <c r="B11">
        <v>10941.44312</v>
      </c>
    </row>
    <row r="12" spans="1:2" x14ac:dyDescent="0.3">
      <c r="A12">
        <v>2033</v>
      </c>
      <c r="B12">
        <v>11549.85806</v>
      </c>
    </row>
    <row r="13" spans="1:2" x14ac:dyDescent="0.3">
      <c r="A13">
        <v>2034</v>
      </c>
      <c r="B13">
        <v>12125.15724</v>
      </c>
    </row>
    <row r="14" spans="1:2" x14ac:dyDescent="0.3">
      <c r="A14">
        <v>2035</v>
      </c>
      <c r="B14">
        <v>12527.7192</v>
      </c>
    </row>
    <row r="15" spans="1:2" x14ac:dyDescent="0.3">
      <c r="A15">
        <v>2036</v>
      </c>
      <c r="B15">
        <v>12603.54664</v>
      </c>
    </row>
    <row r="16" spans="1:2" x14ac:dyDescent="0.3">
      <c r="A16">
        <v>2037</v>
      </c>
      <c r="B16">
        <v>12653.02989</v>
      </c>
    </row>
    <row r="17" spans="1:2" x14ac:dyDescent="0.3">
      <c r="A17">
        <v>2038</v>
      </c>
      <c r="B17">
        <v>12990.06961</v>
      </c>
    </row>
    <row r="18" spans="1:2" x14ac:dyDescent="0.3">
      <c r="A18">
        <v>2039</v>
      </c>
      <c r="B18">
        <v>13153.95205</v>
      </c>
    </row>
    <row r="19" spans="1:2" x14ac:dyDescent="0.3">
      <c r="A19">
        <v>2040</v>
      </c>
      <c r="B19">
        <v>13470.31703</v>
      </c>
    </row>
    <row r="20" spans="1:2" x14ac:dyDescent="0.3">
      <c r="A20">
        <v>2041</v>
      </c>
      <c r="B20">
        <v>13943.67013</v>
      </c>
    </row>
    <row r="21" spans="1:2" x14ac:dyDescent="0.3">
      <c r="A21">
        <v>2042</v>
      </c>
      <c r="B21">
        <v>14415.39372</v>
      </c>
    </row>
    <row r="22" spans="1:2" x14ac:dyDescent="0.3">
      <c r="A22">
        <v>2043</v>
      </c>
      <c r="B22">
        <v>14885.733980000001</v>
      </c>
    </row>
    <row r="23" spans="1:2" x14ac:dyDescent="0.3">
      <c r="A23">
        <v>2044</v>
      </c>
      <c r="B23">
        <v>15217.958259999999</v>
      </c>
    </row>
    <row r="24" spans="1:2" x14ac:dyDescent="0.3">
      <c r="A24">
        <v>2045</v>
      </c>
      <c r="B24">
        <v>15548.04852</v>
      </c>
    </row>
    <row r="25" spans="1:2" x14ac:dyDescent="0.3">
      <c r="A25">
        <v>2046</v>
      </c>
      <c r="B25">
        <v>15876.22228</v>
      </c>
    </row>
    <row r="26" spans="1:2" x14ac:dyDescent="0.3">
      <c r="A26">
        <v>2047</v>
      </c>
      <c r="B26">
        <v>16174.146549999999</v>
      </c>
    </row>
    <row r="27" spans="1:2" x14ac:dyDescent="0.3">
      <c r="A27">
        <v>2048</v>
      </c>
      <c r="B27">
        <v>16470.57026</v>
      </c>
    </row>
    <row r="28" spans="1:2" x14ac:dyDescent="0.3">
      <c r="A28">
        <v>2049</v>
      </c>
      <c r="B28">
        <v>16765.692299999999</v>
      </c>
    </row>
    <row r="29" spans="1:2" x14ac:dyDescent="0.3">
      <c r="A29">
        <v>2050</v>
      </c>
      <c r="B29">
        <v>17059.705740000001</v>
      </c>
    </row>
    <row r="30" spans="1:2" x14ac:dyDescent="0.3">
      <c r="A30">
        <v>2051</v>
      </c>
      <c r="B30">
        <v>17368.256066026541</v>
      </c>
    </row>
    <row r="31" spans="1:2" x14ac:dyDescent="0.3">
      <c r="A31">
        <v>2052</v>
      </c>
      <c r="B31">
        <v>17676.80639205308</v>
      </c>
    </row>
    <row r="32" spans="1:2" x14ac:dyDescent="0.3">
      <c r="A32">
        <v>2053</v>
      </c>
      <c r="B32">
        <v>17985.35671807962</v>
      </c>
    </row>
    <row r="33" spans="1:2" x14ac:dyDescent="0.3">
      <c r="A33">
        <v>2054</v>
      </c>
      <c r="B33">
        <v>18293.907044106159</v>
      </c>
    </row>
    <row r="34" spans="1:2" x14ac:dyDescent="0.3">
      <c r="A34">
        <v>2055</v>
      </c>
      <c r="B34">
        <v>18602.457370132699</v>
      </c>
    </row>
    <row r="35" spans="1:2" x14ac:dyDescent="0.3">
      <c r="A35">
        <v>2056</v>
      </c>
      <c r="B35">
        <v>18911.007696159239</v>
      </c>
    </row>
    <row r="36" spans="1:2" x14ac:dyDescent="0.3">
      <c r="A36">
        <v>2057</v>
      </c>
      <c r="B36">
        <v>19219.558022185782</v>
      </c>
    </row>
    <row r="37" spans="1:2" x14ac:dyDescent="0.3">
      <c r="A37">
        <v>2058</v>
      </c>
      <c r="B37">
        <v>19528.108348212321</v>
      </c>
    </row>
    <row r="38" spans="1:2" x14ac:dyDescent="0.3">
      <c r="A38">
        <v>2059</v>
      </c>
      <c r="B38">
        <v>19836.658674238861</v>
      </c>
    </row>
    <row r="39" spans="1:2" x14ac:dyDescent="0.3">
      <c r="A39">
        <v>2060</v>
      </c>
      <c r="B39">
        <v>20145.209000265389</v>
      </c>
    </row>
    <row r="40" spans="1:2" x14ac:dyDescent="0.3">
      <c r="A40">
        <v>2061</v>
      </c>
      <c r="B40">
        <v>20453.759326291929</v>
      </c>
    </row>
    <row r="41" spans="1:2" x14ac:dyDescent="0.3">
      <c r="A41">
        <v>2062</v>
      </c>
      <c r="B41">
        <v>20762.309652318469</v>
      </c>
    </row>
    <row r="42" spans="1:2" x14ac:dyDescent="0.3">
      <c r="A42">
        <v>2063</v>
      </c>
      <c r="B42">
        <v>21070.859978345012</v>
      </c>
    </row>
    <row r="43" spans="1:2" x14ac:dyDescent="0.3">
      <c r="A43">
        <v>2064</v>
      </c>
      <c r="B43">
        <v>21379.410304371551</v>
      </c>
    </row>
    <row r="44" spans="1:2" x14ac:dyDescent="0.3">
      <c r="A44">
        <v>2065</v>
      </c>
      <c r="B44">
        <v>21687.960630398091</v>
      </c>
    </row>
    <row r="45" spans="1:2" x14ac:dyDescent="0.3">
      <c r="A45">
        <v>2066</v>
      </c>
      <c r="B45">
        <v>21996.51095642463</v>
      </c>
    </row>
    <row r="46" spans="1:2" x14ac:dyDescent="0.3">
      <c r="A46">
        <v>2067</v>
      </c>
      <c r="B46">
        <v>22305.06128245117</v>
      </c>
    </row>
    <row r="47" spans="1:2" x14ac:dyDescent="0.3">
      <c r="A47">
        <v>2068</v>
      </c>
      <c r="B47">
        <v>22613.61160847771</v>
      </c>
    </row>
    <row r="48" spans="1:2" x14ac:dyDescent="0.3">
      <c r="A48">
        <v>2069</v>
      </c>
      <c r="B48">
        <v>22922.161934504249</v>
      </c>
    </row>
    <row r="49" spans="1:2" x14ac:dyDescent="0.3">
      <c r="A49">
        <v>2070</v>
      </c>
      <c r="B49">
        <v>23230.712260530789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9"/>
  <sheetViews>
    <sheetView workbookViewId="0"/>
  </sheetViews>
  <sheetFormatPr defaultRowHeight="14.4" x14ac:dyDescent="0.3"/>
  <sheetData>
    <row r="1" spans="1:2" x14ac:dyDescent="0.3">
      <c r="A1" t="s">
        <v>107</v>
      </c>
      <c r="B1" t="s">
        <v>111</v>
      </c>
    </row>
    <row r="2" spans="1:2" x14ac:dyDescent="0.3">
      <c r="A2">
        <v>2023</v>
      </c>
      <c r="B2">
        <v>200000000</v>
      </c>
    </row>
    <row r="3" spans="1:2" x14ac:dyDescent="0.3">
      <c r="A3">
        <v>2024</v>
      </c>
      <c r="B3">
        <v>205555556</v>
      </c>
    </row>
    <row r="4" spans="1:2" x14ac:dyDescent="0.3">
      <c r="A4">
        <v>2025</v>
      </c>
      <c r="B4">
        <v>211111111</v>
      </c>
    </row>
    <row r="5" spans="1:2" x14ac:dyDescent="0.3">
      <c r="A5">
        <v>2026</v>
      </c>
      <c r="B5">
        <v>216666667</v>
      </c>
    </row>
    <row r="6" spans="1:2" x14ac:dyDescent="0.3">
      <c r="A6">
        <v>2027</v>
      </c>
      <c r="B6">
        <v>222222222</v>
      </c>
    </row>
    <row r="7" spans="1:2" x14ac:dyDescent="0.3">
      <c r="A7">
        <v>2028</v>
      </c>
      <c r="B7">
        <v>227777778</v>
      </c>
    </row>
    <row r="8" spans="1:2" x14ac:dyDescent="0.3">
      <c r="A8">
        <v>2029</v>
      </c>
      <c r="B8">
        <v>233333333</v>
      </c>
    </row>
    <row r="9" spans="1:2" x14ac:dyDescent="0.3">
      <c r="A9">
        <v>2030</v>
      </c>
      <c r="B9">
        <v>238888889</v>
      </c>
    </row>
    <row r="10" spans="1:2" x14ac:dyDescent="0.3">
      <c r="A10">
        <v>2031</v>
      </c>
      <c r="B10">
        <v>244444444</v>
      </c>
    </row>
    <row r="11" spans="1:2" x14ac:dyDescent="0.3">
      <c r="A11">
        <v>2032</v>
      </c>
      <c r="B11">
        <v>250000000</v>
      </c>
    </row>
    <row r="12" spans="1:2" x14ac:dyDescent="0.3">
      <c r="A12">
        <v>2033</v>
      </c>
      <c r="B12">
        <v>255555556</v>
      </c>
    </row>
    <row r="13" spans="1:2" x14ac:dyDescent="0.3">
      <c r="A13">
        <v>2034</v>
      </c>
      <c r="B13">
        <v>261111111</v>
      </c>
    </row>
    <row r="14" spans="1:2" x14ac:dyDescent="0.3">
      <c r="A14">
        <v>2035</v>
      </c>
      <c r="B14">
        <v>266666667</v>
      </c>
    </row>
    <row r="15" spans="1:2" x14ac:dyDescent="0.3">
      <c r="A15">
        <v>2036</v>
      </c>
      <c r="B15">
        <v>272222222</v>
      </c>
    </row>
    <row r="16" spans="1:2" x14ac:dyDescent="0.3">
      <c r="A16">
        <v>2037</v>
      </c>
      <c r="B16">
        <v>277777778</v>
      </c>
    </row>
    <row r="17" spans="1:2" x14ac:dyDescent="0.3">
      <c r="A17">
        <v>2038</v>
      </c>
      <c r="B17">
        <v>283333333</v>
      </c>
    </row>
    <row r="18" spans="1:2" x14ac:dyDescent="0.3">
      <c r="A18">
        <v>2039</v>
      </c>
      <c r="B18">
        <v>288888889</v>
      </c>
    </row>
    <row r="19" spans="1:2" x14ac:dyDescent="0.3">
      <c r="A19">
        <v>2040</v>
      </c>
      <c r="B19">
        <v>294444444</v>
      </c>
    </row>
    <row r="20" spans="1:2" x14ac:dyDescent="0.3">
      <c r="A20">
        <v>2041</v>
      </c>
      <c r="B20">
        <v>300000000</v>
      </c>
    </row>
    <row r="21" spans="1:2" x14ac:dyDescent="0.3">
      <c r="A21">
        <v>2042</v>
      </c>
      <c r="B21">
        <v>305555556</v>
      </c>
    </row>
    <row r="22" spans="1:2" x14ac:dyDescent="0.3">
      <c r="A22">
        <v>2043</v>
      </c>
      <c r="B22">
        <v>311111111</v>
      </c>
    </row>
    <row r="23" spans="1:2" x14ac:dyDescent="0.3">
      <c r="A23">
        <v>2044</v>
      </c>
      <c r="B23">
        <v>316666667</v>
      </c>
    </row>
    <row r="24" spans="1:2" x14ac:dyDescent="0.3">
      <c r="A24">
        <v>2045</v>
      </c>
      <c r="B24">
        <v>322222222</v>
      </c>
    </row>
    <row r="25" spans="1:2" x14ac:dyDescent="0.3">
      <c r="A25">
        <v>2046</v>
      </c>
      <c r="B25">
        <v>327777778</v>
      </c>
    </row>
    <row r="26" spans="1:2" x14ac:dyDescent="0.3">
      <c r="A26">
        <v>2047</v>
      </c>
      <c r="B26">
        <v>333333333</v>
      </c>
    </row>
    <row r="27" spans="1:2" x14ac:dyDescent="0.3">
      <c r="A27">
        <v>2048</v>
      </c>
      <c r="B27">
        <v>338888889</v>
      </c>
    </row>
    <row r="28" spans="1:2" x14ac:dyDescent="0.3">
      <c r="A28">
        <v>2049</v>
      </c>
      <c r="B28">
        <v>344444444</v>
      </c>
    </row>
    <row r="29" spans="1:2" x14ac:dyDescent="0.3">
      <c r="A29">
        <v>2050</v>
      </c>
      <c r="B29">
        <v>350000000</v>
      </c>
    </row>
    <row r="30" spans="1:2" x14ac:dyDescent="0.3">
      <c r="A30">
        <v>2051</v>
      </c>
      <c r="B30">
        <v>355555555.55555558</v>
      </c>
    </row>
    <row r="31" spans="1:2" x14ac:dyDescent="0.3">
      <c r="A31">
        <v>2052</v>
      </c>
      <c r="B31">
        <v>361111111.1111111</v>
      </c>
    </row>
    <row r="32" spans="1:2" x14ac:dyDescent="0.3">
      <c r="A32">
        <v>2053</v>
      </c>
      <c r="B32">
        <v>366666666.66666669</v>
      </c>
    </row>
    <row r="33" spans="1:2" x14ac:dyDescent="0.3">
      <c r="A33">
        <v>2054</v>
      </c>
      <c r="B33">
        <v>372222222.22222221</v>
      </c>
    </row>
    <row r="34" spans="1:2" x14ac:dyDescent="0.3">
      <c r="A34">
        <v>2055</v>
      </c>
      <c r="B34">
        <v>377777777.77777779</v>
      </c>
    </row>
    <row r="35" spans="1:2" x14ac:dyDescent="0.3">
      <c r="A35">
        <v>2056</v>
      </c>
      <c r="B35">
        <v>383333333.33333331</v>
      </c>
    </row>
    <row r="36" spans="1:2" x14ac:dyDescent="0.3">
      <c r="A36">
        <v>2057</v>
      </c>
      <c r="B36">
        <v>388888888.8888889</v>
      </c>
    </row>
    <row r="37" spans="1:2" x14ac:dyDescent="0.3">
      <c r="A37">
        <v>2058</v>
      </c>
      <c r="B37">
        <v>394444444.44444442</v>
      </c>
    </row>
    <row r="38" spans="1:2" x14ac:dyDescent="0.3">
      <c r="A38">
        <v>2059</v>
      </c>
      <c r="B38">
        <v>400000000</v>
      </c>
    </row>
    <row r="39" spans="1:2" x14ac:dyDescent="0.3">
      <c r="A39">
        <v>2060</v>
      </c>
      <c r="B39">
        <v>405555555.55555558</v>
      </c>
    </row>
    <row r="40" spans="1:2" x14ac:dyDescent="0.3">
      <c r="A40">
        <v>2061</v>
      </c>
      <c r="B40">
        <v>411111111.1111111</v>
      </c>
    </row>
    <row r="41" spans="1:2" x14ac:dyDescent="0.3">
      <c r="A41">
        <v>2062</v>
      </c>
      <c r="B41">
        <v>416666666.66666669</v>
      </c>
    </row>
    <row r="42" spans="1:2" x14ac:dyDescent="0.3">
      <c r="A42">
        <v>2063</v>
      </c>
      <c r="B42">
        <v>422222222.22222221</v>
      </c>
    </row>
    <row r="43" spans="1:2" x14ac:dyDescent="0.3">
      <c r="A43">
        <v>2064</v>
      </c>
      <c r="B43">
        <v>427777777.77777779</v>
      </c>
    </row>
    <row r="44" spans="1:2" x14ac:dyDescent="0.3">
      <c r="A44">
        <v>2065</v>
      </c>
      <c r="B44">
        <v>433333333.33333337</v>
      </c>
    </row>
    <row r="45" spans="1:2" x14ac:dyDescent="0.3">
      <c r="A45">
        <v>2066</v>
      </c>
      <c r="B45">
        <v>438888888.8888889</v>
      </c>
    </row>
    <row r="46" spans="1:2" x14ac:dyDescent="0.3">
      <c r="A46">
        <v>2067</v>
      </c>
      <c r="B46">
        <v>444444444.44444442</v>
      </c>
    </row>
    <row r="47" spans="1:2" x14ac:dyDescent="0.3">
      <c r="A47">
        <v>2068</v>
      </c>
      <c r="B47">
        <v>450000000</v>
      </c>
    </row>
    <row r="48" spans="1:2" x14ac:dyDescent="0.3">
      <c r="A48">
        <v>2069</v>
      </c>
      <c r="B48">
        <v>455555555.55555558</v>
      </c>
    </row>
    <row r="49" spans="1:2" x14ac:dyDescent="0.3">
      <c r="A49">
        <v>2070</v>
      </c>
      <c r="B49">
        <v>461111111.1111111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9"/>
  <sheetViews>
    <sheetView topLeftCell="A10" workbookViewId="0">
      <selection activeCell="B30" sqref="B30"/>
    </sheetView>
  </sheetViews>
  <sheetFormatPr defaultRowHeight="14.4" x14ac:dyDescent="0.3"/>
  <cols>
    <col min="2" max="2" width="16.6640625" bestFit="1" customWidth="1"/>
  </cols>
  <sheetData>
    <row r="1" spans="1:3" x14ac:dyDescent="0.3">
      <c r="A1" t="s">
        <v>107</v>
      </c>
      <c r="B1" t="s">
        <v>112</v>
      </c>
      <c r="C1" t="s">
        <v>113</v>
      </c>
    </row>
    <row r="2" spans="1:3" x14ac:dyDescent="0.3">
      <c r="A2">
        <v>2023</v>
      </c>
      <c r="B2">
        <v>1</v>
      </c>
      <c r="C2" t="s">
        <v>114</v>
      </c>
    </row>
    <row r="3" spans="1:3" x14ac:dyDescent="0.3">
      <c r="A3">
        <v>2024</v>
      </c>
      <c r="B3">
        <v>1</v>
      </c>
    </row>
    <row r="4" spans="1:3" x14ac:dyDescent="0.3">
      <c r="A4">
        <v>2025</v>
      </c>
      <c r="B4">
        <v>1</v>
      </c>
    </row>
    <row r="5" spans="1:3" x14ac:dyDescent="0.3">
      <c r="A5">
        <v>2026</v>
      </c>
      <c r="B5">
        <v>1</v>
      </c>
    </row>
    <row r="6" spans="1:3" x14ac:dyDescent="0.3">
      <c r="A6">
        <v>2027</v>
      </c>
      <c r="B6">
        <v>1</v>
      </c>
    </row>
    <row r="7" spans="1:3" x14ac:dyDescent="0.3">
      <c r="A7">
        <v>2028</v>
      </c>
      <c r="B7">
        <v>1</v>
      </c>
    </row>
    <row r="8" spans="1:3" x14ac:dyDescent="0.3">
      <c r="A8">
        <v>2029</v>
      </c>
      <c r="B8">
        <v>1</v>
      </c>
    </row>
    <row r="9" spans="1:3" x14ac:dyDescent="0.3">
      <c r="A9">
        <v>2030</v>
      </c>
      <c r="B9">
        <v>1</v>
      </c>
    </row>
    <row r="10" spans="1:3" x14ac:dyDescent="0.3">
      <c r="A10">
        <v>2031</v>
      </c>
      <c r="B10">
        <v>1</v>
      </c>
    </row>
    <row r="11" spans="1:3" x14ac:dyDescent="0.3">
      <c r="A11">
        <v>2032</v>
      </c>
      <c r="B11">
        <v>1</v>
      </c>
    </row>
    <row r="12" spans="1:3" x14ac:dyDescent="0.3">
      <c r="A12">
        <v>2033</v>
      </c>
      <c r="B12">
        <v>1</v>
      </c>
    </row>
    <row r="13" spans="1:3" x14ac:dyDescent="0.3">
      <c r="A13">
        <v>2034</v>
      </c>
      <c r="B13">
        <f t="shared" ref="B13:B27" si="0">B12-($B$12-$B$29)/COUNT($A$12:$A$29)</f>
        <v>1</v>
      </c>
    </row>
    <row r="14" spans="1:3" x14ac:dyDescent="0.3">
      <c r="A14">
        <v>2035</v>
      </c>
      <c r="B14">
        <f t="shared" si="0"/>
        <v>1</v>
      </c>
    </row>
    <row r="15" spans="1:3" x14ac:dyDescent="0.3">
      <c r="A15">
        <v>2036</v>
      </c>
      <c r="B15">
        <f t="shared" si="0"/>
        <v>1</v>
      </c>
    </row>
    <row r="16" spans="1:3" x14ac:dyDescent="0.3">
      <c r="A16">
        <v>2037</v>
      </c>
      <c r="B16">
        <f t="shared" si="0"/>
        <v>1</v>
      </c>
    </row>
    <row r="17" spans="1:2" x14ac:dyDescent="0.3">
      <c r="A17">
        <v>2038</v>
      </c>
      <c r="B17">
        <f t="shared" si="0"/>
        <v>1</v>
      </c>
    </row>
    <row r="18" spans="1:2" x14ac:dyDescent="0.3">
      <c r="A18">
        <v>2039</v>
      </c>
      <c r="B18">
        <f t="shared" si="0"/>
        <v>1</v>
      </c>
    </row>
    <row r="19" spans="1:2" x14ac:dyDescent="0.3">
      <c r="A19">
        <v>2040</v>
      </c>
      <c r="B19">
        <f t="shared" si="0"/>
        <v>1</v>
      </c>
    </row>
    <row r="20" spans="1:2" x14ac:dyDescent="0.3">
      <c r="A20">
        <v>2041</v>
      </c>
      <c r="B20">
        <f t="shared" si="0"/>
        <v>1</v>
      </c>
    </row>
    <row r="21" spans="1:2" x14ac:dyDescent="0.3">
      <c r="A21">
        <v>2042</v>
      </c>
      <c r="B21">
        <f t="shared" si="0"/>
        <v>1</v>
      </c>
    </row>
    <row r="22" spans="1:2" x14ac:dyDescent="0.3">
      <c r="A22">
        <v>2043</v>
      </c>
      <c r="B22">
        <f t="shared" si="0"/>
        <v>1</v>
      </c>
    </row>
    <row r="23" spans="1:2" x14ac:dyDescent="0.3">
      <c r="A23">
        <v>2044</v>
      </c>
      <c r="B23">
        <f t="shared" si="0"/>
        <v>1</v>
      </c>
    </row>
    <row r="24" spans="1:2" x14ac:dyDescent="0.3">
      <c r="A24">
        <v>2045</v>
      </c>
      <c r="B24">
        <f t="shared" si="0"/>
        <v>1</v>
      </c>
    </row>
    <row r="25" spans="1:2" x14ac:dyDescent="0.3">
      <c r="A25">
        <v>2046</v>
      </c>
      <c r="B25">
        <f t="shared" si="0"/>
        <v>1</v>
      </c>
    </row>
    <row r="26" spans="1:2" x14ac:dyDescent="0.3">
      <c r="A26">
        <v>2047</v>
      </c>
      <c r="B26">
        <f t="shared" si="0"/>
        <v>1</v>
      </c>
    </row>
    <row r="27" spans="1:2" x14ac:dyDescent="0.3">
      <c r="A27">
        <v>2048</v>
      </c>
      <c r="B27">
        <f t="shared" si="0"/>
        <v>1</v>
      </c>
    </row>
    <row r="28" spans="1:2" x14ac:dyDescent="0.3">
      <c r="A28">
        <v>2049</v>
      </c>
      <c r="B28">
        <f>B27-($B$12-$B$29)/COUNT($A$12:$A$29)</f>
        <v>1</v>
      </c>
    </row>
    <row r="29" spans="1:2" x14ac:dyDescent="0.3">
      <c r="A29">
        <v>2050</v>
      </c>
      <c r="B29" s="2">
        <v>1</v>
      </c>
    </row>
    <row r="30" spans="1:2" x14ac:dyDescent="0.3">
      <c r="A30">
        <v>2051</v>
      </c>
      <c r="B30">
        <f>B29-($B$29-$B$49)/COUNT($A$29:$A$49)</f>
        <v>1</v>
      </c>
    </row>
    <row r="31" spans="1:2" x14ac:dyDescent="0.3">
      <c r="A31">
        <v>2052</v>
      </c>
      <c r="B31">
        <f t="shared" ref="B31:B48" si="1">B30-($B$29-$B$49)/COUNT($A$29:$A$49)</f>
        <v>1</v>
      </c>
    </row>
    <row r="32" spans="1:2" x14ac:dyDescent="0.3">
      <c r="A32">
        <v>2053</v>
      </c>
      <c r="B32">
        <f t="shared" si="1"/>
        <v>1</v>
      </c>
    </row>
    <row r="33" spans="1:2" x14ac:dyDescent="0.3">
      <c r="A33">
        <v>2054</v>
      </c>
      <c r="B33">
        <f t="shared" si="1"/>
        <v>1</v>
      </c>
    </row>
    <row r="34" spans="1:2" x14ac:dyDescent="0.3">
      <c r="A34">
        <v>2055</v>
      </c>
      <c r="B34">
        <f t="shared" si="1"/>
        <v>1</v>
      </c>
    </row>
    <row r="35" spans="1:2" x14ac:dyDescent="0.3">
      <c r="A35">
        <v>2056</v>
      </c>
      <c r="B35">
        <f t="shared" si="1"/>
        <v>1</v>
      </c>
    </row>
    <row r="36" spans="1:2" x14ac:dyDescent="0.3">
      <c r="A36">
        <v>2057</v>
      </c>
      <c r="B36">
        <f t="shared" si="1"/>
        <v>1</v>
      </c>
    </row>
    <row r="37" spans="1:2" x14ac:dyDescent="0.3">
      <c r="A37">
        <v>2058</v>
      </c>
      <c r="B37">
        <f t="shared" si="1"/>
        <v>1</v>
      </c>
    </row>
    <row r="38" spans="1:2" x14ac:dyDescent="0.3">
      <c r="A38">
        <v>2059</v>
      </c>
      <c r="B38">
        <f t="shared" si="1"/>
        <v>1</v>
      </c>
    </row>
    <row r="39" spans="1:2" x14ac:dyDescent="0.3">
      <c r="A39">
        <v>2060</v>
      </c>
      <c r="B39">
        <f t="shared" si="1"/>
        <v>1</v>
      </c>
    </row>
    <row r="40" spans="1:2" x14ac:dyDescent="0.3">
      <c r="A40">
        <v>2061</v>
      </c>
      <c r="B40">
        <f t="shared" si="1"/>
        <v>1</v>
      </c>
    </row>
    <row r="41" spans="1:2" x14ac:dyDescent="0.3">
      <c r="A41">
        <v>2062</v>
      </c>
      <c r="B41">
        <f t="shared" si="1"/>
        <v>1</v>
      </c>
    </row>
    <row r="42" spans="1:2" x14ac:dyDescent="0.3">
      <c r="A42">
        <v>2063</v>
      </c>
      <c r="B42">
        <f t="shared" si="1"/>
        <v>1</v>
      </c>
    </row>
    <row r="43" spans="1:2" x14ac:dyDescent="0.3">
      <c r="A43">
        <v>2064</v>
      </c>
      <c r="B43">
        <f t="shared" si="1"/>
        <v>1</v>
      </c>
    </row>
    <row r="44" spans="1:2" x14ac:dyDescent="0.3">
      <c r="A44">
        <v>2065</v>
      </c>
      <c r="B44">
        <f t="shared" si="1"/>
        <v>1</v>
      </c>
    </row>
    <row r="45" spans="1:2" x14ac:dyDescent="0.3">
      <c r="A45">
        <v>2066</v>
      </c>
      <c r="B45">
        <f t="shared" si="1"/>
        <v>1</v>
      </c>
    </row>
    <row r="46" spans="1:2" x14ac:dyDescent="0.3">
      <c r="A46">
        <v>2067</v>
      </c>
      <c r="B46">
        <f t="shared" si="1"/>
        <v>1</v>
      </c>
    </row>
    <row r="47" spans="1:2" x14ac:dyDescent="0.3">
      <c r="A47">
        <v>2068</v>
      </c>
      <c r="B47">
        <f t="shared" si="1"/>
        <v>1</v>
      </c>
    </row>
    <row r="48" spans="1:2" x14ac:dyDescent="0.3">
      <c r="A48">
        <v>2069</v>
      </c>
      <c r="B48">
        <f t="shared" si="1"/>
        <v>1</v>
      </c>
    </row>
    <row r="49" spans="1:2" x14ac:dyDescent="0.3">
      <c r="A49">
        <v>2070</v>
      </c>
      <c r="B49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Parameters</vt:lpstr>
      <vt:lpstr>Routes</vt:lpstr>
      <vt:lpstr>Route_Fuel_Consumption</vt:lpstr>
      <vt:lpstr>Fuel_Prices</vt:lpstr>
      <vt:lpstr>Emission_Factors</vt:lpstr>
      <vt:lpstr>Emission_Cap</vt:lpstr>
      <vt:lpstr>Production_Target</vt:lpstr>
      <vt:lpstr>Scrap_Supply</vt:lpstr>
      <vt:lpstr>Biomass_Supply</vt:lpstr>
      <vt:lpstr>Fossil_Share_Max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Guimaraes</cp:lastModifiedBy>
  <dcterms:created xsi:type="dcterms:W3CDTF">2026-08-18T18:43:42Z</dcterms:created>
  <dcterms:modified xsi:type="dcterms:W3CDTF">2026-09-28T19:30:21Z</dcterms:modified>
</cp:coreProperties>
</file>