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/input/"/>
    </mc:Choice>
  </mc:AlternateContent>
  <xr:revisionPtr revIDLastSave="191" documentId="13_ncr:1_{B62E733F-E2E4-4012-8470-C1B541D273FD}" xr6:coauthVersionLast="47" xr6:coauthVersionMax="47" xr10:uidLastSave="{630D0A47-2349-4B95-A5C1-BD7B2D64F82F}"/>
  <bookViews>
    <workbookView minimized="1" xWindow="3276" yWindow="3276" windowWidth="17280" windowHeight="8880" activeTab="1" xr2:uid="{1683CF16-D6CE-428F-8B93-DD97FDAC2386}"/>
  </bookViews>
  <sheets>
    <sheet name="Planilha1" sheetId="1" r:id="rId1"/>
    <sheet name="Planilha2" sheetId="2" r:id="rId2"/>
  </sheets>
  <externalReferences>
    <externalReference r:id="rId3"/>
    <externalReference r:id="rId4"/>
  </externalReferences>
  <definedNames>
    <definedName name="_xlnm._FilterDatabase" localSheetId="0" hidden="1">Planilha1!$A$1:$Q$17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E17" i="2"/>
  <c r="B17" i="2"/>
  <c r="A17" i="2"/>
  <c r="F16" i="2"/>
  <c r="E16" i="2"/>
  <c r="B16" i="2"/>
  <c r="F15" i="2"/>
  <c r="E15" i="2"/>
  <c r="B15" i="2"/>
  <c r="F14" i="2"/>
  <c r="E14" i="2"/>
  <c r="B14" i="2"/>
  <c r="F13" i="2"/>
  <c r="E13" i="2"/>
  <c r="B13" i="2"/>
  <c r="F12" i="2"/>
  <c r="E12" i="2"/>
  <c r="B12" i="2"/>
  <c r="F11" i="2"/>
  <c r="E11" i="2"/>
  <c r="B11" i="2"/>
  <c r="F10" i="2"/>
  <c r="E10" i="2"/>
  <c r="B10" i="2"/>
  <c r="F9" i="2"/>
  <c r="E9" i="2"/>
  <c r="B9" i="2"/>
  <c r="F8" i="2"/>
  <c r="E8" i="2"/>
  <c r="B8" i="2"/>
  <c r="F7" i="2"/>
  <c r="E7" i="2"/>
  <c r="B7" i="2"/>
  <c r="F6" i="2"/>
  <c r="E6" i="2"/>
  <c r="B6" i="2"/>
  <c r="A6" i="2"/>
  <c r="F5" i="2"/>
  <c r="E5" i="2"/>
  <c r="B5" i="2"/>
  <c r="A5" i="2"/>
  <c r="F4" i="2"/>
  <c r="E4" i="2"/>
  <c r="B4" i="2"/>
  <c r="A4" i="2"/>
  <c r="F3" i="2"/>
  <c r="E3" i="2"/>
  <c r="B3" i="2"/>
  <c r="A3" i="2"/>
  <c r="F2" i="2"/>
  <c r="E2" i="2"/>
  <c r="B2" i="2"/>
  <c r="A2" i="2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N14" i="1"/>
  <c r="O14" i="1"/>
  <c r="P14" i="1"/>
  <c r="N15" i="1"/>
  <c r="O15" i="1"/>
  <c r="P15" i="1"/>
  <c r="N16" i="1"/>
  <c r="O16" i="1"/>
  <c r="P16" i="1"/>
  <c r="N17" i="1"/>
  <c r="O17" i="1"/>
  <c r="P17" i="1"/>
  <c r="M17" i="1"/>
  <c r="M16" i="1"/>
  <c r="M15" i="1"/>
  <c r="M14" i="1"/>
  <c r="N10" i="1"/>
  <c r="O10" i="1"/>
  <c r="P10" i="1"/>
  <c r="N11" i="1"/>
  <c r="O11" i="1"/>
  <c r="P11" i="1"/>
  <c r="N12" i="1"/>
  <c r="O12" i="1"/>
  <c r="P12" i="1"/>
  <c r="N13" i="1"/>
  <c r="O13" i="1"/>
  <c r="P13" i="1"/>
  <c r="M13" i="1"/>
  <c r="M12" i="1"/>
  <c r="M11" i="1"/>
  <c r="M10" i="1"/>
  <c r="N6" i="1"/>
  <c r="O6" i="1"/>
  <c r="P6" i="1"/>
  <c r="N7" i="1"/>
  <c r="O7" i="1"/>
  <c r="P7" i="1"/>
  <c r="N8" i="1"/>
  <c r="O8" i="1"/>
  <c r="P8" i="1"/>
  <c r="N9" i="1"/>
  <c r="O9" i="1"/>
  <c r="P9" i="1"/>
  <c r="M8" i="1"/>
  <c r="M9" i="1"/>
  <c r="M7" i="1"/>
  <c r="M6" i="1"/>
  <c r="N5" i="1"/>
  <c r="O5" i="1"/>
  <c r="P5" i="1"/>
  <c r="M5" i="1"/>
  <c r="M3" i="1"/>
  <c r="N3" i="1"/>
  <c r="O3" i="1"/>
  <c r="P3" i="1"/>
  <c r="M4" i="1"/>
  <c r="N4" i="1"/>
  <c r="O4" i="1"/>
  <c r="P4" i="1"/>
  <c r="P2" i="1"/>
  <c r="O2" i="1"/>
  <c r="N2" i="1"/>
  <c r="M2" i="1"/>
  <c r="B16" i="1"/>
  <c r="G16" i="1"/>
  <c r="H16" i="1"/>
  <c r="A17" i="1"/>
  <c r="B17" i="1"/>
  <c r="G17" i="1"/>
  <c r="H17" i="1"/>
  <c r="A3" i="1"/>
  <c r="B3" i="1"/>
  <c r="G3" i="1"/>
  <c r="H3" i="1"/>
  <c r="A4" i="1"/>
  <c r="B4" i="1"/>
  <c r="G4" i="1"/>
  <c r="H4" i="1"/>
  <c r="A5" i="1"/>
  <c r="B5" i="1"/>
  <c r="G5" i="1"/>
  <c r="H5" i="1"/>
  <c r="A6" i="1"/>
  <c r="B6" i="1"/>
  <c r="G6" i="1"/>
  <c r="H6" i="1"/>
  <c r="B7" i="1"/>
  <c r="G7" i="1"/>
  <c r="H7" i="1"/>
  <c r="B8" i="1"/>
  <c r="G8" i="1"/>
  <c r="H8" i="1"/>
  <c r="B9" i="1"/>
  <c r="G9" i="1"/>
  <c r="H9" i="1"/>
  <c r="B10" i="1"/>
  <c r="G10" i="1"/>
  <c r="H10" i="1"/>
  <c r="B11" i="1"/>
  <c r="G11" i="1"/>
  <c r="H11" i="1"/>
  <c r="B12" i="1"/>
  <c r="G12" i="1"/>
  <c r="H12" i="1"/>
  <c r="B13" i="1"/>
  <c r="G13" i="1"/>
  <c r="H13" i="1"/>
  <c r="B14" i="1"/>
  <c r="G14" i="1"/>
  <c r="H14" i="1"/>
  <c r="B15" i="1"/>
  <c r="G15" i="1"/>
  <c r="H15" i="1"/>
  <c r="H2" i="1"/>
  <c r="G2" i="1"/>
  <c r="B2" i="1"/>
  <c r="A2" i="1"/>
</calcChain>
</file>

<file path=xl/sharedStrings.xml><?xml version="1.0" encoding="utf-8"?>
<sst xmlns="http://schemas.openxmlformats.org/spreadsheetml/2006/main" count="124" uniqueCount="41">
  <si>
    <t>Plantname</t>
  </si>
  <si>
    <t>Coordinates</t>
  </si>
  <si>
    <t>Lat</t>
  </si>
  <si>
    <t>Lon</t>
  </si>
  <si>
    <t>Route</t>
  </si>
  <si>
    <t>Startyear</t>
  </si>
  <si>
    <t>Retrofitdate</t>
  </si>
  <si>
    <t>Capacity</t>
  </si>
  <si>
    <t>Energy_intensity</t>
  </si>
  <si>
    <t>Emission_intensity</t>
  </si>
  <si>
    <t>State</t>
  </si>
  <si>
    <t>UF</t>
  </si>
  <si>
    <t>Company</t>
  </si>
  <si>
    <t>Plantofficialname</t>
  </si>
  <si>
    <t>City</t>
  </si>
  <si>
    <t>Estate</t>
  </si>
  <si>
    <t>Route_detailed</t>
  </si>
  <si>
    <t>BOF</t>
  </si>
  <si>
    <t>Minas Gerais</t>
  </si>
  <si>
    <t>MG</t>
  </si>
  <si>
    <t>Espírito Santo</t>
  </si>
  <si>
    <t>ES</t>
  </si>
  <si>
    <t>EAF</t>
  </si>
  <si>
    <t>Rio de Janeiro</t>
  </si>
  <si>
    <t>RJ</t>
  </si>
  <si>
    <t>SBR00007 BOF</t>
  </si>
  <si>
    <t>SBR00007 EAF</t>
  </si>
  <si>
    <t>SBR00008</t>
  </si>
  <si>
    <t>Ceará</t>
  </si>
  <si>
    <t>CE</t>
  </si>
  <si>
    <t>SBR00009</t>
  </si>
  <si>
    <t>São Paulo</t>
  </si>
  <si>
    <t>SP</t>
  </si>
  <si>
    <t>SBR00010</t>
  </si>
  <si>
    <t>SBR00011</t>
  </si>
  <si>
    <t>SBR00012 BOF</t>
  </si>
  <si>
    <t>SBR00012 EAF</t>
  </si>
  <si>
    <t>SBR00013 BOF</t>
  </si>
  <si>
    <t>SBR00013 EAF</t>
  </si>
  <si>
    <t>BF-BOF CM</t>
  </si>
  <si>
    <t>BF-BOF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</si>
</sst>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odelagem/modelo_bru/Plants.xlsx" TargetMode="External"/><Relationship Id="rId2" Type="http://schemas.openxmlformats.org/officeDocument/2006/relationships/externalLinkPath" Target="https://d.docs.live.net/ead127730922d462/DOUTORADO/0.TESE/modelagem/modelo_bru/Plants.xlsx" TargetMode="External"/><Relationship Id="rId1" Type="http://schemas.openxmlformats.org/officeDocument/2006/relationships/externalLinkPath" Target="/ead127730922d462/DOUTORADO/0.TESE/modelagem/modelo_bru/Pla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una\Downloads\Plants_route_CM_CV_EAF.xlsx" TargetMode="External"/><Relationship Id="rId1" Type="http://schemas.openxmlformats.org/officeDocument/2006/relationships/externalLinkPath" Target="file:///C:\Users\Bruna\Downloads\Plants_route_CM_CV_EA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2">
          <cell r="A2" t="str">
            <v>SBR00001</v>
          </cell>
          <cell r="B2" t="str">
            <v>-20.543507, -43.752950</v>
          </cell>
          <cell r="F2">
            <v>2036</v>
          </cell>
          <cell r="G2">
            <v>7600</v>
          </cell>
        </row>
        <row r="3">
          <cell r="A3" t="str">
            <v>SBR00002</v>
          </cell>
          <cell r="B3" t="str">
            <v>-20.253447, -40.242298</v>
          </cell>
          <cell r="F3">
            <v>2033</v>
          </cell>
          <cell r="G3">
            <v>7500</v>
          </cell>
        </row>
        <row r="4">
          <cell r="A4" t="str">
            <v>SBR00003</v>
          </cell>
          <cell r="B4" t="str">
            <v>-19.832129, -43.130164</v>
          </cell>
          <cell r="F4">
            <v>2037</v>
          </cell>
          <cell r="G4">
            <v>3500</v>
          </cell>
        </row>
        <row r="5">
          <cell r="A5" t="str">
            <v>SBR00004</v>
          </cell>
          <cell r="B5" t="str">
            <v>-22.493597, -44.512628</v>
          </cell>
          <cell r="F5">
            <v>2060</v>
          </cell>
          <cell r="G5">
            <v>1000</v>
          </cell>
        </row>
        <row r="7">
          <cell r="A7" t="str">
            <v>SBR00006</v>
          </cell>
          <cell r="B7" t="str">
            <v>-22.912549, -43.741614</v>
          </cell>
          <cell r="F7">
            <v>2035</v>
          </cell>
          <cell r="G7">
            <v>5000</v>
          </cell>
        </row>
        <row r="8">
          <cell r="B8" t="str">
            <v>-22.512631, -44.112870</v>
          </cell>
          <cell r="F8">
            <v>2046</v>
          </cell>
          <cell r="G8">
            <v>4504.9771000000001</v>
          </cell>
        </row>
        <row r="9">
          <cell r="B9" t="str">
            <v>-22.512631, -44.112870</v>
          </cell>
          <cell r="F9">
            <v>2060</v>
          </cell>
          <cell r="G9">
            <v>1295.0228999999999</v>
          </cell>
        </row>
        <row r="10">
          <cell r="B10" t="str">
            <v>-3.585917, -38.858932</v>
          </cell>
          <cell r="F10">
            <v>2041</v>
          </cell>
          <cell r="G10">
            <v>3000</v>
          </cell>
        </row>
        <row r="11">
          <cell r="B11" t="str">
            <v>-22.698154, -47.657146</v>
          </cell>
          <cell r="F11">
            <v>2060</v>
          </cell>
          <cell r="G11">
            <v>1100</v>
          </cell>
        </row>
        <row r="12">
          <cell r="B12" t="str">
            <v>-22.902420, -43.749319</v>
          </cell>
          <cell r="F12">
            <v>2060</v>
          </cell>
          <cell r="G12">
            <v>1200</v>
          </cell>
        </row>
        <row r="13">
          <cell r="B13" t="str">
            <v>-19.491277, -42.544253</v>
          </cell>
          <cell r="F13">
            <v>2037</v>
          </cell>
          <cell r="G13">
            <v>3500</v>
          </cell>
        </row>
        <row r="14">
          <cell r="B14" t="str">
            <v>-20.582683, -43.971555</v>
          </cell>
          <cell r="F14">
            <v>2036</v>
          </cell>
          <cell r="G14">
            <v>776.72019999999998</v>
          </cell>
        </row>
        <row r="15">
          <cell r="B15" t="str">
            <v>-20.582683, -43.971555</v>
          </cell>
          <cell r="F15">
            <v>2060</v>
          </cell>
          <cell r="G15">
            <v>223.27979999999999</v>
          </cell>
        </row>
        <row r="16">
          <cell r="B16" t="str">
            <v>-21.626963, -43.462361</v>
          </cell>
          <cell r="F16">
            <v>2034</v>
          </cell>
          <cell r="G16">
            <v>1553.4404</v>
          </cell>
        </row>
        <row r="17">
          <cell r="B17" t="str">
            <v>-21.626963, -43.462361</v>
          </cell>
          <cell r="F17">
            <v>2060</v>
          </cell>
          <cell r="G17">
            <v>446.55959999999999</v>
          </cell>
        </row>
        <row r="18">
          <cell r="A18" t="str">
            <v>ARCH-Brazil-EAF-1</v>
          </cell>
          <cell r="B18" t="str">
            <v>-20.543507, -43.752950</v>
          </cell>
          <cell r="F18">
            <v>2060</v>
          </cell>
          <cell r="G18">
            <v>1037.3134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s - Route Detail"/>
      <sheetName val="Capacity Summary"/>
      <sheetName val="Missing Plants &amp; Notes"/>
    </sheetNames>
    <sheetDataSet>
      <sheetData sheetId="0">
        <row r="2">
          <cell r="B2" t="str">
            <v>Gerdau Açominas</v>
          </cell>
          <cell r="C2" t="str">
            <v>Ouro Branco</v>
          </cell>
          <cell r="D2" t="str">
            <v>Ouro Branco</v>
          </cell>
          <cell r="E2" t="str">
            <v>MG</v>
          </cell>
          <cell r="I2" t="str">
            <v>BF-BOF CM</v>
          </cell>
        </row>
        <row r="3">
          <cell r="B3" t="str">
            <v>ArcelorMittal Tubarão</v>
          </cell>
          <cell r="C3" t="str">
            <v>Tubarão</v>
          </cell>
          <cell r="D3" t="str">
            <v>Serra</v>
          </cell>
          <cell r="E3" t="str">
            <v>ES</v>
          </cell>
          <cell r="I3" t="str">
            <v>BF-BOF CM</v>
          </cell>
        </row>
        <row r="4">
          <cell r="B4" t="str">
            <v>ArcelorMittal Longos</v>
          </cell>
          <cell r="C4" t="str">
            <v>Monlevade</v>
          </cell>
          <cell r="D4" t="str">
            <v>João Monlevade</v>
          </cell>
          <cell r="E4" t="str">
            <v>MG</v>
          </cell>
          <cell r="I4" t="str">
            <v>BF-BOF CM</v>
          </cell>
        </row>
        <row r="6">
          <cell r="B6" t="str">
            <v>Ternium Brasil</v>
          </cell>
          <cell r="C6" t="str">
            <v>Santa Cruz (ex-CSA)</v>
          </cell>
          <cell r="D6" t="str">
            <v>Rio de Janeiro</v>
          </cell>
          <cell r="E6" t="str">
            <v>RJ</v>
          </cell>
          <cell r="I6" t="str">
            <v>BF-BOF CM</v>
          </cell>
        </row>
        <row r="7">
          <cell r="B7" t="str">
            <v>CSN</v>
          </cell>
          <cell r="C7" t="str">
            <v>Pres. Vargas (BOF)</v>
          </cell>
          <cell r="D7" t="str">
            <v>Volta Redonda</v>
          </cell>
          <cell r="E7" t="str">
            <v>RJ</v>
          </cell>
          <cell r="I7" t="str">
            <v>BF-BOF CM</v>
          </cell>
        </row>
        <row r="8">
          <cell r="B8" t="str">
            <v>ArcelorMittal Pecém</v>
          </cell>
          <cell r="C8" t="str">
            <v>Pecém</v>
          </cell>
          <cell r="D8" t="str">
            <v>S.G. Amarante</v>
          </cell>
          <cell r="E8" t="str">
            <v>CE</v>
          </cell>
          <cell r="I8" t="str">
            <v>BF-BOF CM</v>
          </cell>
        </row>
        <row r="9">
          <cell r="B9" t="str">
            <v>Usiminas</v>
          </cell>
          <cell r="C9" t="str">
            <v>Ipatinga</v>
          </cell>
          <cell r="D9" t="str">
            <v>Ipatinga</v>
          </cell>
          <cell r="E9" t="str">
            <v>MG</v>
          </cell>
          <cell r="I9" t="str">
            <v>BF-BOF CM</v>
          </cell>
        </row>
        <row r="10">
          <cell r="B10" t="str">
            <v>Vallourec</v>
          </cell>
          <cell r="C10" t="str">
            <v>Jeceaba (BF)</v>
          </cell>
          <cell r="D10" t="str">
            <v>Jeceaba</v>
          </cell>
          <cell r="E10" t="str">
            <v>MG</v>
          </cell>
          <cell r="I10" t="str">
            <v>BF-BOF CV</v>
          </cell>
        </row>
        <row r="11">
          <cell r="B11" t="str">
            <v>ArcelorMittal Longos</v>
          </cell>
          <cell r="C11" t="str">
            <v>Juiz de Fora (BF)</v>
          </cell>
          <cell r="D11" t="str">
            <v>Juiz de Fora</v>
          </cell>
          <cell r="E11" t="str">
            <v>MG</v>
          </cell>
          <cell r="I11" t="str">
            <v>BF-BOF CV</v>
          </cell>
        </row>
        <row r="12">
          <cell r="B12" t="str">
            <v>ArcelorMittal Longos</v>
          </cell>
          <cell r="C12" t="str">
            <v>Resende</v>
          </cell>
          <cell r="D12" t="str">
            <v>Resende</v>
          </cell>
          <cell r="E12" t="str">
            <v>RJ</v>
          </cell>
          <cell r="I12" t="str">
            <v>EAF</v>
          </cell>
        </row>
        <row r="13">
          <cell r="B13" t="str">
            <v>CSN</v>
          </cell>
          <cell r="C13" t="str">
            <v>Pres. Vargas (EAF)</v>
          </cell>
          <cell r="D13" t="str">
            <v>Volta Redonda</v>
          </cell>
          <cell r="E13" t="str">
            <v>RJ</v>
          </cell>
          <cell r="I13" t="str">
            <v>EAF</v>
          </cell>
        </row>
        <row r="14">
          <cell r="B14" t="str">
            <v>ArcelorMittal Longos</v>
          </cell>
          <cell r="C14" t="str">
            <v>Piracicaba</v>
          </cell>
          <cell r="D14" t="str">
            <v>Piracicaba</v>
          </cell>
          <cell r="E14" t="str">
            <v>SP</v>
          </cell>
          <cell r="I14" t="str">
            <v>EAF</v>
          </cell>
        </row>
        <row r="15">
          <cell r="B15" t="str">
            <v>Gerdau Longos</v>
          </cell>
          <cell r="C15" t="str">
            <v>Cosigua</v>
          </cell>
          <cell r="D15" t="str">
            <v>Rio de Janeiro</v>
          </cell>
          <cell r="E15" t="str">
            <v>RJ</v>
          </cell>
          <cell r="I15" t="str">
            <v>EAF</v>
          </cell>
        </row>
        <row r="16">
          <cell r="B16" t="str">
            <v>Vallourec</v>
          </cell>
          <cell r="C16" t="str">
            <v>Jeceaba (EAF)</v>
          </cell>
          <cell r="D16" t="str">
            <v>Jeceaba</v>
          </cell>
          <cell r="E16" t="str">
            <v>MG</v>
          </cell>
          <cell r="I16" t="str">
            <v>EAF</v>
          </cell>
        </row>
        <row r="17">
          <cell r="B17" t="str">
            <v>ArcelorMittal Longos</v>
          </cell>
          <cell r="C17" t="str">
            <v>Juiz de Fora (EAF)</v>
          </cell>
          <cell r="D17" t="str">
            <v>Juiz de Fora</v>
          </cell>
          <cell r="E17" t="str">
            <v>MG</v>
          </cell>
          <cell r="I17" t="str">
            <v>EAF</v>
          </cell>
        </row>
        <row r="18">
          <cell r="B18" t="str">
            <v>Gerdau Açominas</v>
          </cell>
          <cell r="C18" t="str">
            <v>Ouro Branco (EAF)</v>
          </cell>
          <cell r="D18" t="str">
            <v>Ouro Branco</v>
          </cell>
          <cell r="E18" t="str">
            <v>MG</v>
          </cell>
          <cell r="I18" t="str">
            <v>EAF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9D97-E7E6-401A-8B63-E7AB508DAAF6}">
  <dimension ref="A1:Q19"/>
  <sheetViews>
    <sheetView topLeftCell="C1" workbookViewId="0">
      <selection sqref="A1:Q17"/>
    </sheetView>
  </sheetViews>
  <sheetFormatPr defaultRowHeight="14.4" x14ac:dyDescent="0.3"/>
  <cols>
    <col min="1" max="1" width="19.33203125" customWidth="1"/>
    <col min="2" max="2" width="22.6640625" customWidth="1"/>
    <col min="3" max="4" width="10.6640625" customWidth="1"/>
    <col min="5" max="5" width="10.44140625" customWidth="1"/>
    <col min="6" max="6" width="10.6640625" customWidth="1"/>
    <col min="7" max="8" width="10.88671875" customWidth="1"/>
    <col min="9" max="9" width="12.33203125" customWidth="1"/>
    <col min="10" max="10" width="17.6640625" bestFit="1" customWidth="1"/>
    <col min="11" max="11" width="13.44140625" bestFit="1" customWidth="1"/>
    <col min="13" max="13" width="18.44140625" bestFit="1" customWidth="1"/>
    <col min="14" max="14" width="18.33203125" customWidth="1"/>
    <col min="15" max="15" width="11.109375" bestFit="1" customWidth="1"/>
    <col min="17" max="17" width="13.66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tr">
        <f>[1]Planilha1!A2</f>
        <v>SBR00001</v>
      </c>
      <c r="B2" s="1" t="str">
        <f>[1]Planilha1!B2</f>
        <v>-20.543507, -43.752950</v>
      </c>
      <c r="C2" s="1">
        <v>-20.543507000000002</v>
      </c>
      <c r="D2" s="3">
        <v>-43.752949999999998</v>
      </c>
      <c r="E2" s="1" t="s">
        <v>17</v>
      </c>
      <c r="F2" s="1">
        <v>2023</v>
      </c>
      <c r="G2" s="2">
        <f>[1]Planilha1!F2</f>
        <v>2036</v>
      </c>
      <c r="H2" s="2">
        <f>[1]Planilha1!G2</f>
        <v>7600</v>
      </c>
      <c r="I2">
        <v>23</v>
      </c>
      <c r="J2">
        <v>2</v>
      </c>
      <c r="K2" t="s">
        <v>18</v>
      </c>
      <c r="L2" t="s">
        <v>19</v>
      </c>
      <c r="M2" t="str">
        <f>'[2]Plants - Route Detail'!B2</f>
        <v>Gerdau Açominas</v>
      </c>
      <c r="N2" t="str">
        <f>'[2]Plants - Route Detail'!C2</f>
        <v>Ouro Branco</v>
      </c>
      <c r="O2" t="str">
        <f>'[2]Plants - Route Detail'!D2</f>
        <v>Ouro Branco</v>
      </c>
      <c r="P2" t="str">
        <f>'[2]Plants - Route Detail'!E2</f>
        <v>MG</v>
      </c>
      <c r="Q2" t="str">
        <f>'[2]Plants - Route Detail'!I2</f>
        <v>BF-BOF CM</v>
      </c>
    </row>
    <row r="3" spans="1:17" x14ac:dyDescent="0.3">
      <c r="A3" s="1" t="str">
        <f>[1]Planilha1!A3</f>
        <v>SBR00002</v>
      </c>
      <c r="B3" s="1" t="str">
        <f>[1]Planilha1!B3</f>
        <v>-20.253447, -40.242298</v>
      </c>
      <c r="C3" s="1">
        <v>-20.253447000000001</v>
      </c>
      <c r="D3" s="1">
        <v>-40.242297999999998</v>
      </c>
      <c r="E3" s="1" t="s">
        <v>17</v>
      </c>
      <c r="F3" s="1">
        <v>2023</v>
      </c>
      <c r="G3" s="2">
        <f>[1]Planilha1!F3</f>
        <v>2033</v>
      </c>
      <c r="H3" s="2">
        <f>[1]Planilha1!G3</f>
        <v>7500</v>
      </c>
      <c r="I3">
        <v>23</v>
      </c>
      <c r="J3">
        <v>2</v>
      </c>
      <c r="K3" t="s">
        <v>20</v>
      </c>
      <c r="L3" t="s">
        <v>21</v>
      </c>
      <c r="M3" t="str">
        <f>'[2]Plants - Route Detail'!B3</f>
        <v>ArcelorMittal Tubarão</v>
      </c>
      <c r="N3" t="str">
        <f>'[2]Plants - Route Detail'!C3</f>
        <v>Tubarão</v>
      </c>
      <c r="O3" t="str">
        <f>'[2]Plants - Route Detail'!D3</f>
        <v>Serra</v>
      </c>
      <c r="P3" t="str">
        <f>'[2]Plants - Route Detail'!E3</f>
        <v>ES</v>
      </c>
      <c r="Q3" t="str">
        <f>'[2]Plants - Route Detail'!I3</f>
        <v>BF-BOF CM</v>
      </c>
    </row>
    <row r="4" spans="1:17" x14ac:dyDescent="0.3">
      <c r="A4" s="1" t="str">
        <f>[1]Planilha1!A4</f>
        <v>SBR00003</v>
      </c>
      <c r="B4" s="1" t="str">
        <f>[1]Planilha1!B4</f>
        <v>-19.832129, -43.130164</v>
      </c>
      <c r="C4" s="1">
        <v>-19.832128999999998</v>
      </c>
      <c r="D4" s="1">
        <v>-43.130164000000001</v>
      </c>
      <c r="E4" s="1" t="s">
        <v>17</v>
      </c>
      <c r="F4" s="1">
        <v>2023</v>
      </c>
      <c r="G4" s="2">
        <f>[1]Planilha1!F4</f>
        <v>2037</v>
      </c>
      <c r="H4" s="2">
        <f>[1]Planilha1!G4</f>
        <v>3500</v>
      </c>
      <c r="I4">
        <v>23</v>
      </c>
      <c r="J4">
        <v>2</v>
      </c>
      <c r="K4" t="s">
        <v>18</v>
      </c>
      <c r="L4" t="s">
        <v>19</v>
      </c>
      <c r="M4" t="str">
        <f>'[2]Plants - Route Detail'!B4</f>
        <v>ArcelorMittal Longos</v>
      </c>
      <c r="N4" t="str">
        <f>'[2]Plants - Route Detail'!C4</f>
        <v>Monlevade</v>
      </c>
      <c r="O4" t="str">
        <f>'[2]Plants - Route Detail'!D4</f>
        <v>João Monlevade</v>
      </c>
      <c r="P4" t="str">
        <f>'[2]Plants - Route Detail'!E4</f>
        <v>MG</v>
      </c>
      <c r="Q4" t="str">
        <f>'[2]Plants - Route Detail'!I4</f>
        <v>BF-BOF CM</v>
      </c>
    </row>
    <row r="5" spans="1:17" x14ac:dyDescent="0.3">
      <c r="A5" s="1" t="str">
        <f>[1]Planilha1!A5</f>
        <v>SBR00004</v>
      </c>
      <c r="B5" s="1" t="str">
        <f>[1]Planilha1!B5</f>
        <v>-22.493597, -44.512628</v>
      </c>
      <c r="C5" s="1">
        <v>-22.493597000000001</v>
      </c>
      <c r="D5" s="1">
        <v>-44.512627999999999</v>
      </c>
      <c r="E5" s="1" t="s">
        <v>22</v>
      </c>
      <c r="F5" s="1">
        <v>2023</v>
      </c>
      <c r="G5" s="2">
        <f>[1]Planilha1!F5</f>
        <v>2060</v>
      </c>
      <c r="H5" s="2">
        <f>[1]Planilha1!G5</f>
        <v>1000</v>
      </c>
      <c r="I5">
        <v>10</v>
      </c>
      <c r="J5">
        <v>0.3</v>
      </c>
      <c r="K5" t="s">
        <v>23</v>
      </c>
      <c r="L5" t="s">
        <v>24</v>
      </c>
      <c r="M5" t="str">
        <f>'[2]Plants - Route Detail'!B12</f>
        <v>ArcelorMittal Longos</v>
      </c>
      <c r="N5" t="str">
        <f>'[2]Plants - Route Detail'!C12</f>
        <v>Resende</v>
      </c>
      <c r="O5" t="str">
        <f>'[2]Plants - Route Detail'!D12</f>
        <v>Resende</v>
      </c>
      <c r="P5" t="str">
        <f>'[2]Plants - Route Detail'!E12</f>
        <v>RJ</v>
      </c>
      <c r="Q5" t="str">
        <f>'[2]Plants - Route Detail'!I12</f>
        <v>EAF</v>
      </c>
    </row>
    <row r="6" spans="1:17" x14ac:dyDescent="0.3">
      <c r="A6" s="1" t="str">
        <f>[1]Planilha1!A7</f>
        <v>SBR00006</v>
      </c>
      <c r="B6" s="1" t="str">
        <f>[1]Planilha1!B7</f>
        <v>-22.912549, -43.741614</v>
      </c>
      <c r="C6" s="1">
        <v>-22.912548999999999</v>
      </c>
      <c r="D6" s="1">
        <v>-43.741613999999998</v>
      </c>
      <c r="E6" s="1" t="s">
        <v>17</v>
      </c>
      <c r="F6" s="1">
        <v>2023</v>
      </c>
      <c r="G6" s="2">
        <f>[1]Planilha1!F7</f>
        <v>2035</v>
      </c>
      <c r="H6" s="2">
        <f>[1]Planilha1!G7</f>
        <v>5000</v>
      </c>
      <c r="I6">
        <v>23</v>
      </c>
      <c r="J6">
        <v>2</v>
      </c>
      <c r="K6" t="s">
        <v>23</v>
      </c>
      <c r="L6" t="s">
        <v>24</v>
      </c>
      <c r="M6" t="str">
        <f>'[2]Plants - Route Detail'!B6</f>
        <v>Ternium Brasil</v>
      </c>
      <c r="N6" t="str">
        <f>'[2]Plants - Route Detail'!C6</f>
        <v>Santa Cruz (ex-CSA)</v>
      </c>
      <c r="O6" t="str">
        <f>'[2]Plants - Route Detail'!D6</f>
        <v>Rio de Janeiro</v>
      </c>
      <c r="P6" t="str">
        <f>'[2]Plants - Route Detail'!E6</f>
        <v>RJ</v>
      </c>
      <c r="Q6" t="str">
        <f>'[2]Plants - Route Detail'!I6</f>
        <v>BF-BOF CM</v>
      </c>
    </row>
    <row r="7" spans="1:17" x14ac:dyDescent="0.3">
      <c r="A7" s="1" t="s">
        <v>25</v>
      </c>
      <c r="B7" s="1" t="str">
        <f>[1]Planilha1!B8</f>
        <v>-22.512631, -44.112870</v>
      </c>
      <c r="C7" s="1">
        <v>-22.512630999999999</v>
      </c>
      <c r="D7" s="1">
        <v>-44.112870000000001</v>
      </c>
      <c r="E7" s="1" t="s">
        <v>17</v>
      </c>
      <c r="F7" s="1">
        <v>2023</v>
      </c>
      <c r="G7" s="2">
        <f>[1]Planilha1!F8</f>
        <v>2046</v>
      </c>
      <c r="H7" s="2">
        <f>[1]Planilha1!G8</f>
        <v>4504.9771000000001</v>
      </c>
      <c r="I7">
        <v>23</v>
      </c>
      <c r="J7">
        <v>2</v>
      </c>
      <c r="K7" t="s">
        <v>23</v>
      </c>
      <c r="L7" t="s">
        <v>24</v>
      </c>
      <c r="M7" t="str">
        <f>'[2]Plants - Route Detail'!B7</f>
        <v>CSN</v>
      </c>
      <c r="N7" t="str">
        <f>'[2]Plants - Route Detail'!C7</f>
        <v>Pres. Vargas (BOF)</v>
      </c>
      <c r="O7" t="str">
        <f>'[2]Plants - Route Detail'!D7</f>
        <v>Volta Redonda</v>
      </c>
      <c r="P7" t="str">
        <f>'[2]Plants - Route Detail'!E7</f>
        <v>RJ</v>
      </c>
      <c r="Q7" t="str">
        <f>'[2]Plants - Route Detail'!I7</f>
        <v>BF-BOF CM</v>
      </c>
    </row>
    <row r="8" spans="1:17" x14ac:dyDescent="0.3">
      <c r="A8" s="1" t="s">
        <v>26</v>
      </c>
      <c r="B8" s="1" t="str">
        <f>[1]Planilha1!B9</f>
        <v>-22.512631, -44.112870</v>
      </c>
      <c r="C8" s="1">
        <v>-22.512630999999999</v>
      </c>
      <c r="D8" s="1">
        <v>-44.112870000000001</v>
      </c>
      <c r="E8" s="1" t="s">
        <v>22</v>
      </c>
      <c r="F8" s="1">
        <v>2023</v>
      </c>
      <c r="G8" s="2">
        <f>[1]Planilha1!F9</f>
        <v>2060</v>
      </c>
      <c r="H8" s="2">
        <f>[1]Planilha1!G9</f>
        <v>1295.0228999999999</v>
      </c>
      <c r="I8">
        <v>10</v>
      </c>
      <c r="J8">
        <v>0.3</v>
      </c>
      <c r="K8" t="s">
        <v>23</v>
      </c>
      <c r="L8" t="s">
        <v>24</v>
      </c>
      <c r="M8" t="str">
        <f>'[2]Plants - Route Detail'!B13</f>
        <v>CSN</v>
      </c>
      <c r="N8" t="str">
        <f>'[2]Plants - Route Detail'!C13</f>
        <v>Pres. Vargas (EAF)</v>
      </c>
      <c r="O8" t="str">
        <f>'[2]Plants - Route Detail'!D13</f>
        <v>Volta Redonda</v>
      </c>
      <c r="P8" t="str">
        <f>'[2]Plants - Route Detail'!E13</f>
        <v>RJ</v>
      </c>
      <c r="Q8" t="str">
        <f>'[2]Plants - Route Detail'!I13</f>
        <v>EAF</v>
      </c>
    </row>
    <row r="9" spans="1:17" x14ac:dyDescent="0.3">
      <c r="A9" s="1" t="s">
        <v>27</v>
      </c>
      <c r="B9" s="1" t="str">
        <f>[1]Planilha1!B10</f>
        <v>-3.585917, -38.858932</v>
      </c>
      <c r="C9" s="1">
        <v>-3.5859169999999998</v>
      </c>
      <c r="D9" s="1">
        <v>-38.858932000000003</v>
      </c>
      <c r="E9" s="1" t="s">
        <v>17</v>
      </c>
      <c r="F9" s="1">
        <v>2023</v>
      </c>
      <c r="G9" s="2">
        <f>[1]Planilha1!F10</f>
        <v>2041</v>
      </c>
      <c r="H9" s="2">
        <f>[1]Planilha1!G10</f>
        <v>3000</v>
      </c>
      <c r="I9">
        <v>23</v>
      </c>
      <c r="J9">
        <v>2</v>
      </c>
      <c r="K9" t="s">
        <v>28</v>
      </c>
      <c r="L9" t="s">
        <v>29</v>
      </c>
      <c r="M9" t="str">
        <f>'[2]Plants - Route Detail'!B8</f>
        <v>ArcelorMittal Pecém</v>
      </c>
      <c r="N9" t="str">
        <f>'[2]Plants - Route Detail'!C8</f>
        <v>Pecém</v>
      </c>
      <c r="O9" t="str">
        <f>'[2]Plants - Route Detail'!D8</f>
        <v>S.G. Amarante</v>
      </c>
      <c r="P9" t="str">
        <f>'[2]Plants - Route Detail'!E8</f>
        <v>CE</v>
      </c>
      <c r="Q9" t="str">
        <f>'[2]Plants - Route Detail'!I8</f>
        <v>BF-BOF CM</v>
      </c>
    </row>
    <row r="10" spans="1:17" x14ac:dyDescent="0.3">
      <c r="A10" s="1" t="s">
        <v>30</v>
      </c>
      <c r="B10" s="1" t="str">
        <f>[1]Planilha1!B11</f>
        <v>-22.698154, -47.657146</v>
      </c>
      <c r="C10" s="1">
        <v>-22.698153999999999</v>
      </c>
      <c r="D10" s="1">
        <v>-47.657145999999997</v>
      </c>
      <c r="E10" s="1" t="s">
        <v>22</v>
      </c>
      <c r="F10" s="1">
        <v>2023</v>
      </c>
      <c r="G10" s="2">
        <f>[1]Planilha1!F11</f>
        <v>2060</v>
      </c>
      <c r="H10" s="2">
        <f>[1]Planilha1!G11</f>
        <v>1100</v>
      </c>
      <c r="I10">
        <v>10</v>
      </c>
      <c r="J10">
        <v>0.3</v>
      </c>
      <c r="K10" t="s">
        <v>31</v>
      </c>
      <c r="L10" t="s">
        <v>32</v>
      </c>
      <c r="M10" t="str">
        <f>'[2]Plants - Route Detail'!B14</f>
        <v>ArcelorMittal Longos</v>
      </c>
      <c r="N10" t="str">
        <f>'[2]Plants - Route Detail'!C14</f>
        <v>Piracicaba</v>
      </c>
      <c r="O10" t="str">
        <f>'[2]Plants - Route Detail'!D14</f>
        <v>Piracicaba</v>
      </c>
      <c r="P10" t="str">
        <f>'[2]Plants - Route Detail'!E14</f>
        <v>SP</v>
      </c>
      <c r="Q10" t="str">
        <f>'[2]Plants - Route Detail'!I14</f>
        <v>EAF</v>
      </c>
    </row>
    <row r="11" spans="1:17" x14ac:dyDescent="0.3">
      <c r="A11" s="1" t="s">
        <v>33</v>
      </c>
      <c r="B11" s="1" t="str">
        <f>[1]Planilha1!B12</f>
        <v>-22.902420, -43.749319</v>
      </c>
      <c r="C11" s="1">
        <v>-22.902419999999999</v>
      </c>
      <c r="D11" s="1">
        <v>-43.749319</v>
      </c>
      <c r="E11" s="1" t="s">
        <v>22</v>
      </c>
      <c r="F11" s="1">
        <v>2023</v>
      </c>
      <c r="G11" s="2">
        <f>[1]Planilha1!F12</f>
        <v>2060</v>
      </c>
      <c r="H11" s="2">
        <f>[1]Planilha1!G12</f>
        <v>1200</v>
      </c>
      <c r="I11">
        <v>10</v>
      </c>
      <c r="J11">
        <v>0.3</v>
      </c>
      <c r="K11" t="s">
        <v>23</v>
      </c>
      <c r="L11" t="s">
        <v>24</v>
      </c>
      <c r="M11" t="str">
        <f>'[2]Plants - Route Detail'!B15</f>
        <v>Gerdau Longos</v>
      </c>
      <c r="N11" t="str">
        <f>'[2]Plants - Route Detail'!C15</f>
        <v>Cosigua</v>
      </c>
      <c r="O11" t="str">
        <f>'[2]Plants - Route Detail'!D15</f>
        <v>Rio de Janeiro</v>
      </c>
      <c r="P11" t="str">
        <f>'[2]Plants - Route Detail'!E15</f>
        <v>RJ</v>
      </c>
      <c r="Q11" t="str">
        <f>'[2]Plants - Route Detail'!I15</f>
        <v>EAF</v>
      </c>
    </row>
    <row r="12" spans="1:17" x14ac:dyDescent="0.3">
      <c r="A12" s="1" t="s">
        <v>34</v>
      </c>
      <c r="B12" s="1" t="str">
        <f>[1]Planilha1!B13</f>
        <v>-19.491277, -42.544253</v>
      </c>
      <c r="C12" s="1">
        <v>-19.491277</v>
      </c>
      <c r="D12" s="1">
        <v>-42.544252999999998</v>
      </c>
      <c r="E12" s="1" t="s">
        <v>17</v>
      </c>
      <c r="F12" s="1">
        <v>2023</v>
      </c>
      <c r="G12" s="2">
        <f>[1]Planilha1!F13</f>
        <v>2037</v>
      </c>
      <c r="H12" s="2">
        <f>[1]Planilha1!G13</f>
        <v>3500</v>
      </c>
      <c r="I12">
        <v>23</v>
      </c>
      <c r="J12">
        <v>2</v>
      </c>
      <c r="K12" t="s">
        <v>18</v>
      </c>
      <c r="L12" t="s">
        <v>19</v>
      </c>
      <c r="M12" t="str">
        <f>'[2]Plants - Route Detail'!B9</f>
        <v>Usiminas</v>
      </c>
      <c r="N12" t="str">
        <f>'[2]Plants - Route Detail'!C9</f>
        <v>Ipatinga</v>
      </c>
      <c r="O12" t="str">
        <f>'[2]Plants - Route Detail'!D9</f>
        <v>Ipatinga</v>
      </c>
      <c r="P12" t="str">
        <f>'[2]Plants - Route Detail'!E9</f>
        <v>MG</v>
      </c>
      <c r="Q12" t="str">
        <f>'[2]Plants - Route Detail'!I9</f>
        <v>BF-BOF CM</v>
      </c>
    </row>
    <row r="13" spans="1:17" x14ac:dyDescent="0.3">
      <c r="A13" s="1" t="s">
        <v>35</v>
      </c>
      <c r="B13" s="1" t="str">
        <f>[1]Planilha1!B14</f>
        <v>-20.582683, -43.971555</v>
      </c>
      <c r="C13" s="1">
        <v>-20.582682999999999</v>
      </c>
      <c r="D13" s="1">
        <v>-43.971555000000002</v>
      </c>
      <c r="E13" s="1" t="s">
        <v>17</v>
      </c>
      <c r="F13" s="1">
        <v>2023</v>
      </c>
      <c r="G13" s="2">
        <f>[1]Planilha1!F14</f>
        <v>2036</v>
      </c>
      <c r="H13" s="2">
        <f>[1]Planilha1!G14</f>
        <v>776.72019999999998</v>
      </c>
      <c r="I13">
        <v>23</v>
      </c>
      <c r="J13">
        <v>2</v>
      </c>
      <c r="K13" t="s">
        <v>18</v>
      </c>
      <c r="L13" t="s">
        <v>19</v>
      </c>
      <c r="M13" t="str">
        <f>'[2]Plants - Route Detail'!B10</f>
        <v>Vallourec</v>
      </c>
      <c r="N13" t="str">
        <f>'[2]Plants - Route Detail'!C10</f>
        <v>Jeceaba (BF)</v>
      </c>
      <c r="O13" t="str">
        <f>'[2]Plants - Route Detail'!D10</f>
        <v>Jeceaba</v>
      </c>
      <c r="P13" t="str">
        <f>'[2]Plants - Route Detail'!E10</f>
        <v>MG</v>
      </c>
      <c r="Q13" s="4" t="str">
        <f>'[2]Plants - Route Detail'!I10</f>
        <v>BF-BOF CV</v>
      </c>
    </row>
    <row r="14" spans="1:17" x14ac:dyDescent="0.3">
      <c r="A14" s="1" t="s">
        <v>36</v>
      </c>
      <c r="B14" s="1" t="str">
        <f>[1]Planilha1!B15</f>
        <v>-20.582683, -43.971555</v>
      </c>
      <c r="C14" s="1">
        <v>-20.582682999999999</v>
      </c>
      <c r="D14" s="1">
        <v>-43.971555000000002</v>
      </c>
      <c r="E14" s="1" t="s">
        <v>22</v>
      </c>
      <c r="F14" s="1">
        <v>2023</v>
      </c>
      <c r="G14" s="2">
        <f>[1]Planilha1!F15</f>
        <v>2060</v>
      </c>
      <c r="H14" s="2">
        <f>[1]Planilha1!G15</f>
        <v>223.27979999999999</v>
      </c>
      <c r="I14">
        <v>10</v>
      </c>
      <c r="J14">
        <v>0.3</v>
      </c>
      <c r="K14" t="s">
        <v>18</v>
      </c>
      <c r="L14" t="s">
        <v>19</v>
      </c>
      <c r="M14" t="str">
        <f>'[2]Plants - Route Detail'!B16</f>
        <v>Vallourec</v>
      </c>
      <c r="N14" t="str">
        <f>'[2]Plants - Route Detail'!C16</f>
        <v>Jeceaba (EAF)</v>
      </c>
      <c r="O14" t="str">
        <f>'[2]Plants - Route Detail'!D16</f>
        <v>Jeceaba</v>
      </c>
      <c r="P14" t="str">
        <f>'[2]Plants - Route Detail'!E16</f>
        <v>MG</v>
      </c>
      <c r="Q14" t="str">
        <f>'[2]Plants - Route Detail'!I16</f>
        <v>EAF</v>
      </c>
    </row>
    <row r="15" spans="1:17" x14ac:dyDescent="0.3">
      <c r="A15" s="1" t="s">
        <v>37</v>
      </c>
      <c r="B15" s="1" t="str">
        <f>[1]Planilha1!B16</f>
        <v>-21.626963, -43.462361</v>
      </c>
      <c r="C15" s="1">
        <v>-21.626963</v>
      </c>
      <c r="D15" s="1">
        <v>-43.462361000000001</v>
      </c>
      <c r="E15" s="1" t="s">
        <v>17</v>
      </c>
      <c r="F15" s="1">
        <v>2023</v>
      </c>
      <c r="G15" s="2">
        <f>[1]Planilha1!F16</f>
        <v>2034</v>
      </c>
      <c r="H15" s="2">
        <f>[1]Planilha1!G16</f>
        <v>1553.4404</v>
      </c>
      <c r="I15">
        <v>23</v>
      </c>
      <c r="J15">
        <v>2</v>
      </c>
      <c r="K15" t="s">
        <v>18</v>
      </c>
      <c r="L15" t="s">
        <v>19</v>
      </c>
      <c r="M15" t="str">
        <f>'[2]Plants - Route Detail'!B11</f>
        <v>ArcelorMittal Longos</v>
      </c>
      <c r="N15" t="str">
        <f>'[2]Plants - Route Detail'!C11</f>
        <v>Juiz de Fora (BF)</v>
      </c>
      <c r="O15" t="str">
        <f>'[2]Plants - Route Detail'!D11</f>
        <v>Juiz de Fora</v>
      </c>
      <c r="P15" t="str">
        <f>'[2]Plants - Route Detail'!E11</f>
        <v>MG</v>
      </c>
      <c r="Q15" s="4" t="str">
        <f>'[2]Plants - Route Detail'!I11</f>
        <v>BF-BOF CV</v>
      </c>
    </row>
    <row r="16" spans="1:17" x14ac:dyDescent="0.3">
      <c r="A16" s="1" t="s">
        <v>38</v>
      </c>
      <c r="B16" s="1" t="str">
        <f>[1]Planilha1!B17</f>
        <v>-21.626963, -43.462361</v>
      </c>
      <c r="C16" s="1">
        <v>-21.626963</v>
      </c>
      <c r="D16" s="1">
        <v>-43.462361000000001</v>
      </c>
      <c r="E16" s="1" t="s">
        <v>22</v>
      </c>
      <c r="F16" s="1">
        <v>2023</v>
      </c>
      <c r="G16" s="2">
        <f>[1]Planilha1!F17</f>
        <v>2060</v>
      </c>
      <c r="H16" s="2">
        <f>[1]Planilha1!G17</f>
        <v>446.55959999999999</v>
      </c>
      <c r="I16">
        <v>10</v>
      </c>
      <c r="J16">
        <v>0.3</v>
      </c>
      <c r="K16" t="s">
        <v>18</v>
      </c>
      <c r="L16" t="s">
        <v>19</v>
      </c>
      <c r="M16" t="str">
        <f>'[2]Plants - Route Detail'!B17</f>
        <v>ArcelorMittal Longos</v>
      </c>
      <c r="N16" t="str">
        <f>'[2]Plants - Route Detail'!C17</f>
        <v>Juiz de Fora (EAF)</v>
      </c>
      <c r="O16" t="str">
        <f>'[2]Plants - Route Detail'!D17</f>
        <v>Juiz de Fora</v>
      </c>
      <c r="P16" t="str">
        <f>'[2]Plants - Route Detail'!E17</f>
        <v>MG</v>
      </c>
      <c r="Q16" t="str">
        <f>'[2]Plants - Route Detail'!I17</f>
        <v>EAF</v>
      </c>
    </row>
    <row r="17" spans="1:17" x14ac:dyDescent="0.3">
      <c r="A17" s="1" t="str">
        <f>[1]Planilha1!A18</f>
        <v>ARCH-Brazil-EAF-1</v>
      </c>
      <c r="B17" s="1" t="str">
        <f>[1]Planilha1!B18</f>
        <v>-20.543507, -43.752950</v>
      </c>
      <c r="C17" s="1">
        <v>-20.543507000000002</v>
      </c>
      <c r="D17" s="1">
        <v>-43.752949999999998</v>
      </c>
      <c r="E17" s="1" t="s">
        <v>22</v>
      </c>
      <c r="F17" s="1">
        <v>2023</v>
      </c>
      <c r="G17" s="2">
        <f>[1]Planilha1!F18</f>
        <v>2060</v>
      </c>
      <c r="H17" s="2">
        <f>[1]Planilha1!G18</f>
        <v>1037.3134</v>
      </c>
      <c r="I17">
        <v>10</v>
      </c>
      <c r="J17">
        <v>0.3</v>
      </c>
      <c r="K17" t="s">
        <v>18</v>
      </c>
      <c r="L17" t="s">
        <v>19</v>
      </c>
      <c r="M17" t="str">
        <f>'[2]Plants - Route Detail'!B18</f>
        <v>Gerdau Açominas</v>
      </c>
      <c r="N17" t="str">
        <f>'[2]Plants - Route Detail'!C18</f>
        <v>Ouro Branco (EAF)</v>
      </c>
      <c r="O17" t="str">
        <f>'[2]Plants - Route Detail'!D18</f>
        <v>Ouro Branco</v>
      </c>
      <c r="P17" t="str">
        <f>'[2]Plants - Route Detail'!E18</f>
        <v>MG</v>
      </c>
      <c r="Q17" t="str">
        <f>'[2]Plants - Route Detail'!I18</f>
        <v>EAF</v>
      </c>
    </row>
    <row r="18" spans="1:17" x14ac:dyDescent="0.3">
      <c r="A18" s="1"/>
      <c r="B18" s="1"/>
      <c r="C18" s="1"/>
      <c r="D18" s="1"/>
      <c r="E18" s="1"/>
      <c r="F18" s="1"/>
      <c r="G18" s="2"/>
      <c r="H18" s="2"/>
    </row>
    <row r="19" spans="1:17" x14ac:dyDescent="0.3">
      <c r="A19" s="1"/>
      <c r="B19" s="1"/>
      <c r="C19" s="1"/>
      <c r="D19" s="1"/>
      <c r="E19" s="1"/>
      <c r="F19" s="1"/>
      <c r="G19" s="2"/>
      <c r="H19" s="2"/>
    </row>
  </sheetData>
  <autoFilter ref="A1:Q17" xr:uid="{CBFE9D97-E7E6-401A-8B63-E7AB508DAAF6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C032-33DF-4FE6-AF4F-ED1156790558}">
  <dimension ref="A1:G17"/>
  <sheetViews>
    <sheetView tabSelected="1" workbookViewId="0">
      <selection activeCell="Q15" sqref="Q15"/>
    </sheetView>
  </sheetViews>
  <sheetFormatPr defaultRowHeight="14.4" x14ac:dyDescent="0.3"/>
  <cols>
    <col min="1" max="1" width="17.33203125" bestFit="1" customWidth="1"/>
    <col min="2" max="2" width="20.5546875" bestFit="1" customWidth="1"/>
    <col min="3" max="3" width="10.218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</row>
    <row r="2" spans="1:7" x14ac:dyDescent="0.3">
      <c r="A2" s="1" t="str">
        <f>[1]Planilha1!A2</f>
        <v>SBR00001</v>
      </c>
      <c r="B2" s="1" t="str">
        <f>[1]Planilha1!B2</f>
        <v>-20.543507, -43.752950</v>
      </c>
      <c r="C2" s="1" t="s">
        <v>39</v>
      </c>
      <c r="D2" s="1">
        <v>2023</v>
      </c>
      <c r="E2" s="2">
        <f>[1]Planilha1!F2</f>
        <v>2036</v>
      </c>
      <c r="F2" s="2">
        <f>[1]Planilha1!G2</f>
        <v>7600</v>
      </c>
      <c r="G2" t="s">
        <v>18</v>
      </c>
    </row>
    <row r="3" spans="1:7" x14ac:dyDescent="0.3">
      <c r="A3" s="1" t="str">
        <f>[1]Planilha1!A3</f>
        <v>SBR00002</v>
      </c>
      <c r="B3" s="1" t="str">
        <f>[1]Planilha1!B3</f>
        <v>-20.253447, -40.242298</v>
      </c>
      <c r="C3" s="1" t="s">
        <v>39</v>
      </c>
      <c r="D3" s="1">
        <v>2023</v>
      </c>
      <c r="E3" s="2">
        <f>[1]Planilha1!F3</f>
        <v>2033</v>
      </c>
      <c r="F3" s="2">
        <f>[1]Planilha1!G3</f>
        <v>7500</v>
      </c>
      <c r="G3" t="s">
        <v>20</v>
      </c>
    </row>
    <row r="4" spans="1:7" x14ac:dyDescent="0.3">
      <c r="A4" s="1" t="str">
        <f>[1]Planilha1!A4</f>
        <v>SBR00003</v>
      </c>
      <c r="B4" s="1" t="str">
        <f>[1]Planilha1!B4</f>
        <v>-19.832129, -43.130164</v>
      </c>
      <c r="C4" s="1" t="s">
        <v>39</v>
      </c>
      <c r="D4" s="1">
        <v>2023</v>
      </c>
      <c r="E4" s="2">
        <f>[1]Planilha1!F4</f>
        <v>2037</v>
      </c>
      <c r="F4" s="2">
        <f>[1]Planilha1!G4</f>
        <v>3500</v>
      </c>
      <c r="G4" t="s">
        <v>18</v>
      </c>
    </row>
    <row r="5" spans="1:7" x14ac:dyDescent="0.3">
      <c r="A5" s="1" t="str">
        <f>[1]Planilha1!A5</f>
        <v>SBR00004</v>
      </c>
      <c r="B5" s="1" t="str">
        <f>[1]Planilha1!B5</f>
        <v>-22.493597, -44.512628</v>
      </c>
      <c r="C5" s="1" t="s">
        <v>22</v>
      </c>
      <c r="D5" s="1">
        <v>2023</v>
      </c>
      <c r="E5" s="2">
        <f>[1]Planilha1!F5</f>
        <v>2060</v>
      </c>
      <c r="F5" s="2">
        <f>[1]Planilha1!G5</f>
        <v>1000</v>
      </c>
      <c r="G5" t="s">
        <v>23</v>
      </c>
    </row>
    <row r="6" spans="1:7" x14ac:dyDescent="0.3">
      <c r="A6" s="1" t="str">
        <f>[1]Planilha1!A7</f>
        <v>SBR00006</v>
      </c>
      <c r="B6" s="1" t="str">
        <f>[1]Planilha1!B7</f>
        <v>-22.912549, -43.741614</v>
      </c>
      <c r="C6" s="1" t="s">
        <v>39</v>
      </c>
      <c r="D6" s="1">
        <v>2023</v>
      </c>
      <c r="E6" s="2">
        <f>[1]Planilha1!F7</f>
        <v>2035</v>
      </c>
      <c r="F6" s="2">
        <f>[1]Planilha1!G7</f>
        <v>5000</v>
      </c>
      <c r="G6" t="s">
        <v>23</v>
      </c>
    </row>
    <row r="7" spans="1:7" x14ac:dyDescent="0.3">
      <c r="A7" s="1" t="s">
        <v>25</v>
      </c>
      <c r="B7" s="1" t="str">
        <f>[1]Planilha1!B8</f>
        <v>-22.512631, -44.112870</v>
      </c>
      <c r="C7" s="1" t="s">
        <v>39</v>
      </c>
      <c r="D7" s="1">
        <v>2023</v>
      </c>
      <c r="E7" s="2">
        <f>[1]Planilha1!F8</f>
        <v>2046</v>
      </c>
      <c r="F7" s="2">
        <f>[1]Planilha1!G8</f>
        <v>4504.9771000000001</v>
      </c>
      <c r="G7" t="s">
        <v>23</v>
      </c>
    </row>
    <row r="8" spans="1:7" x14ac:dyDescent="0.3">
      <c r="A8" s="1" t="s">
        <v>26</v>
      </c>
      <c r="B8" s="1" t="str">
        <f>[1]Planilha1!B9</f>
        <v>-22.512631, -44.112870</v>
      </c>
      <c r="C8" s="1" t="s">
        <v>22</v>
      </c>
      <c r="D8" s="1">
        <v>2023</v>
      </c>
      <c r="E8" s="2">
        <f>[1]Planilha1!F9</f>
        <v>2060</v>
      </c>
      <c r="F8" s="2">
        <f>[1]Planilha1!G9</f>
        <v>1295.0228999999999</v>
      </c>
      <c r="G8" t="s">
        <v>23</v>
      </c>
    </row>
    <row r="9" spans="1:7" x14ac:dyDescent="0.3">
      <c r="A9" s="1" t="s">
        <v>27</v>
      </c>
      <c r="B9" s="1" t="str">
        <f>[1]Planilha1!B10</f>
        <v>-3.585917, -38.858932</v>
      </c>
      <c r="C9" s="1" t="s">
        <v>39</v>
      </c>
      <c r="D9" s="1">
        <v>2023</v>
      </c>
      <c r="E9" s="2">
        <f>[1]Planilha1!F10</f>
        <v>2041</v>
      </c>
      <c r="F9" s="2">
        <f>[1]Planilha1!G10</f>
        <v>3000</v>
      </c>
      <c r="G9" t="s">
        <v>28</v>
      </c>
    </row>
    <row r="10" spans="1:7" x14ac:dyDescent="0.3">
      <c r="A10" s="1" t="s">
        <v>30</v>
      </c>
      <c r="B10" s="1" t="str">
        <f>[1]Planilha1!B11</f>
        <v>-22.698154, -47.657146</v>
      </c>
      <c r="C10" s="1" t="s">
        <v>22</v>
      </c>
      <c r="D10" s="1">
        <v>2023</v>
      </c>
      <c r="E10" s="2">
        <f>[1]Planilha1!F11</f>
        <v>2060</v>
      </c>
      <c r="F10" s="2">
        <f>[1]Planilha1!G11</f>
        <v>1100</v>
      </c>
      <c r="G10" t="s">
        <v>31</v>
      </c>
    </row>
    <row r="11" spans="1:7" x14ac:dyDescent="0.3">
      <c r="A11" s="1" t="s">
        <v>33</v>
      </c>
      <c r="B11" s="1" t="str">
        <f>[1]Planilha1!B12</f>
        <v>-22.902420, -43.749319</v>
      </c>
      <c r="C11" s="1" t="s">
        <v>22</v>
      </c>
      <c r="D11" s="1">
        <v>2023</v>
      </c>
      <c r="E11" s="2">
        <f>[1]Planilha1!F12</f>
        <v>2060</v>
      </c>
      <c r="F11" s="2">
        <f>[1]Planilha1!G12</f>
        <v>1200</v>
      </c>
      <c r="G11" t="s">
        <v>23</v>
      </c>
    </row>
    <row r="12" spans="1:7" x14ac:dyDescent="0.3">
      <c r="A12" s="1" t="s">
        <v>34</v>
      </c>
      <c r="B12" s="1" t="str">
        <f>[1]Planilha1!B13</f>
        <v>-19.491277, -42.544253</v>
      </c>
      <c r="C12" s="1" t="s">
        <v>39</v>
      </c>
      <c r="D12" s="1">
        <v>2023</v>
      </c>
      <c r="E12" s="2">
        <f>[1]Planilha1!F13</f>
        <v>2037</v>
      </c>
      <c r="F12" s="2">
        <f>[1]Planilha1!G13</f>
        <v>3500</v>
      </c>
      <c r="G12" t="s">
        <v>18</v>
      </c>
    </row>
    <row r="13" spans="1:7" x14ac:dyDescent="0.3">
      <c r="A13" s="1" t="s">
        <v>35</v>
      </c>
      <c r="B13" s="1" t="str">
        <f>[1]Planilha1!B14</f>
        <v>-20.582683, -43.971555</v>
      </c>
      <c r="C13" s="1" t="s">
        <v>40</v>
      </c>
      <c r="D13" s="1">
        <v>2023</v>
      </c>
      <c r="E13" s="2">
        <f>[1]Planilha1!F14</f>
        <v>2036</v>
      </c>
      <c r="F13" s="2">
        <f>[1]Planilha1!G14</f>
        <v>776.72019999999998</v>
      </c>
      <c r="G13" t="s">
        <v>18</v>
      </c>
    </row>
    <row r="14" spans="1:7" x14ac:dyDescent="0.3">
      <c r="A14" s="1" t="s">
        <v>36</v>
      </c>
      <c r="B14" s="1" t="str">
        <f>[1]Planilha1!B15</f>
        <v>-20.582683, -43.971555</v>
      </c>
      <c r="C14" s="1" t="s">
        <v>22</v>
      </c>
      <c r="D14" s="1">
        <v>2023</v>
      </c>
      <c r="E14" s="2">
        <f>[1]Planilha1!F15</f>
        <v>2060</v>
      </c>
      <c r="F14" s="2">
        <f>[1]Planilha1!G15</f>
        <v>223.27979999999999</v>
      </c>
      <c r="G14" t="s">
        <v>18</v>
      </c>
    </row>
    <row r="15" spans="1:7" x14ac:dyDescent="0.3">
      <c r="A15" s="1" t="s">
        <v>37</v>
      </c>
      <c r="B15" s="1" t="str">
        <f>[1]Planilha1!B16</f>
        <v>-21.626963, -43.462361</v>
      </c>
      <c r="C15" s="1" t="s">
        <v>40</v>
      </c>
      <c r="D15" s="1">
        <v>2023</v>
      </c>
      <c r="E15" s="2">
        <f>[1]Planilha1!F16</f>
        <v>2034</v>
      </c>
      <c r="F15" s="2">
        <f>[1]Planilha1!G16</f>
        <v>1553.4404</v>
      </c>
      <c r="G15" t="s">
        <v>18</v>
      </c>
    </row>
    <row r="16" spans="1:7" x14ac:dyDescent="0.3">
      <c r="A16" s="1" t="s">
        <v>38</v>
      </c>
      <c r="B16" s="1" t="str">
        <f>[1]Planilha1!B17</f>
        <v>-21.626963, -43.462361</v>
      </c>
      <c r="C16" s="1" t="s">
        <v>22</v>
      </c>
      <c r="D16" s="1">
        <v>2023</v>
      </c>
      <c r="E16" s="2">
        <f>[1]Planilha1!F17</f>
        <v>2060</v>
      </c>
      <c r="F16" s="2">
        <f>[1]Planilha1!G17</f>
        <v>446.55959999999999</v>
      </c>
      <c r="G16" t="s">
        <v>18</v>
      </c>
    </row>
    <row r="17" spans="1:7" x14ac:dyDescent="0.3">
      <c r="A17" s="1" t="str">
        <f>[1]Planilha1!A18</f>
        <v>ARCH-Brazil-EAF-1</v>
      </c>
      <c r="B17" s="1" t="str">
        <f>[1]Planilha1!B18</f>
        <v>-20.543507, -43.752950</v>
      </c>
      <c r="C17" s="1" t="s">
        <v>22</v>
      </c>
      <c r="D17" s="1">
        <v>2023</v>
      </c>
      <c r="E17" s="2">
        <f>[1]Planilha1!F18</f>
        <v>2060</v>
      </c>
      <c r="F17" s="2">
        <f>[1]Planilha1!G18</f>
        <v>1037.3134</v>
      </c>
      <c r="G17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Guimaraes</dc:creator>
  <cp:keywords/>
  <dc:description/>
  <cp:lastModifiedBy>Bruna Guimaraes</cp:lastModifiedBy>
  <cp:revision/>
  <dcterms:created xsi:type="dcterms:W3CDTF">2025-05-21T14:44:21Z</dcterms:created>
  <dcterms:modified xsi:type="dcterms:W3CDTF">2026-08-19T17:47:27Z</dcterms:modified>
  <cp:category/>
  <cp:contentStatus/>
</cp:coreProperties>
</file>