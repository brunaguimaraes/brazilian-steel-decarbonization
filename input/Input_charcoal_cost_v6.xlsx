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ARTIGO/submission/Research Data_2/input/"/>
    </mc:Choice>
  </mc:AlternateContent>
  <xr:revisionPtr revIDLastSave="127" documentId="8_{E22A14FB-C264-4B48-A6CE-DC4FB8F69273}" xr6:coauthVersionLast="47" xr6:coauthVersionMax="47" xr10:uidLastSave="{E2B811F4-1F4E-41B0-8ACA-B0DF8358DE3F}"/>
  <bookViews>
    <workbookView xWindow="28680" yWindow="750" windowWidth="29040" windowHeight="15720" tabRatio="662" activeTab="5" xr2:uid="{00000000-000D-0000-FFFF-FFFF00000000}"/>
  </bookViews>
  <sheets>
    <sheet name="0_README" sheetId="1" r:id="rId1"/>
    <sheet name="1_Wood" sheetId="2" r:id="rId2"/>
    <sheet name="2_Charcoaling" sheetId="3" r:id="rId3"/>
    <sheet name="3_BuildUp" sheetId="4" r:id="rId4"/>
    <sheet name="4_FX_to_USD" sheetId="5" r:id="rId5"/>
    <sheet name="5_Tier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1" i="6" l="1"/>
  <c r="F42" i="6"/>
  <c r="G25" i="6"/>
  <c r="G18" i="6"/>
  <c r="G19" i="6"/>
  <c r="G20" i="6"/>
  <c r="G21" i="6"/>
  <c r="G22" i="6"/>
  <c r="G23" i="6"/>
  <c r="G17" i="6"/>
  <c r="C25" i="6"/>
  <c r="C30" i="6" l="1"/>
  <c r="C29" i="6"/>
  <c r="C28" i="6"/>
  <c r="F16" i="6"/>
  <c r="F17" i="6" s="1"/>
  <c r="F18" i="6" s="1"/>
  <c r="F19" i="6" s="1"/>
  <c r="F20" i="6" s="1"/>
  <c r="F21" i="6" s="1"/>
  <c r="F22" i="6" s="1"/>
  <c r="F23" i="6" s="1"/>
  <c r="F25" i="6" s="1"/>
  <c r="E16" i="6"/>
  <c r="D14" i="4"/>
  <c r="C14" i="4"/>
  <c r="C17" i="3"/>
  <c r="D17" i="3" s="1"/>
  <c r="D16" i="3"/>
  <c r="D16" i="4" s="1"/>
  <c r="C16" i="3"/>
  <c r="C16" i="4" s="1"/>
  <c r="C14" i="3"/>
  <c r="D14" i="3" s="1"/>
  <c r="C14" i="2"/>
  <c r="C15" i="2" s="1"/>
  <c r="C16" i="2" s="1"/>
  <c r="D15" i="3" l="1"/>
  <c r="C15" i="3"/>
  <c r="E17" i="6"/>
  <c r="E18" i="6" s="1"/>
  <c r="E19" i="6" s="1"/>
  <c r="E20" i="6" s="1"/>
  <c r="E21" i="6" s="1"/>
  <c r="E22" i="6" s="1"/>
  <c r="E23" i="6" s="1"/>
  <c r="E25" i="6" s="1"/>
  <c r="F34" i="6" l="1"/>
  <c r="F36" i="6"/>
  <c r="F38" i="6"/>
  <c r="E34" i="6"/>
  <c r="F39" i="6"/>
  <c r="F35" i="6"/>
  <c r="F37" i="6"/>
  <c r="D13" i="4"/>
  <c r="D15" i="4" s="1"/>
  <c r="D17" i="4" s="1"/>
  <c r="D18" i="4" s="1"/>
  <c r="D11" i="5" s="1"/>
  <c r="C17" i="5" s="1"/>
  <c r="C13" i="4"/>
  <c r="C15" i="4" s="1"/>
  <c r="C17" i="4" s="1"/>
  <c r="C18" i="4" s="1"/>
  <c r="C11" i="5" s="1"/>
  <c r="C16" i="5" s="1"/>
  <c r="F40" i="6"/>
</calcChain>
</file>

<file path=xl/sharedStrings.xml><?xml version="1.0" encoding="utf-8"?>
<sst xmlns="http://schemas.openxmlformats.org/spreadsheetml/2006/main" count="230" uniqueCount="181">
  <si>
    <t>Bottom-up charcoal cost (Emilio's chain) + tiered supply curve (Emilio's quantity axis).</t>
  </si>
  <si>
    <t>What is in this workbook</t>
  </si>
  <si>
    <t>1_Wood          — wood cost (R$/t wood) from land cost, productivity, density.</t>
  </si>
  <si>
    <t>2_Charcoaling   — charcoal cost (R$/t charcoal): wood + carbonisation (CGEE 2015).</t>
  </si>
  <si>
    <t>3_BuildUp       — Low / High R$/GJ with financial discounting (Emilio Step 3).</t>
  </si>
  <si>
    <t>4_FX_to_USD     — currency conversion R$/GJ -&gt; USD/GJ for the model.</t>
  </si>
  <si>
    <t>Colour code</t>
  </si>
  <si>
    <t>BLUE = editable input</t>
  </si>
  <si>
    <t>BLACK = formula / calculated</t>
  </si>
  <si>
    <t>GREEN = pulled from another sheet</t>
  </si>
  <si>
    <t>CRITICAL NOTES</t>
  </si>
  <si>
    <t>Bracell/BTG number (R$ 1.5bn / 54k ha = R$ 27,778/ha) is an ANCHOR, with three caveats:</t>
  </si>
  <si>
    <t xml:space="preserve">  (a) covers degraded-land RECOVERY + planting, not pure plantation;</t>
  </si>
  <si>
    <t xml:space="preserve">  (b) uses SUBSIDISED credit (~1%/yr Treasury) - understates real market cost;</t>
  </si>
  <si>
    <t xml:space="preserve">  (c) pulp project, not charcoal (planting cost similar; downstream differs).</t>
  </si>
  <si>
    <t>Step 1 — Cost of Wood (Eucalyptus)</t>
  </si>
  <si>
    <t>Goal: convert land cost (R$/ha) into wood cost (R$/t wood).</t>
  </si>
  <si>
    <t xml:space="preserve">  INPUTS</t>
  </si>
  <si>
    <t>Parameter</t>
  </si>
  <si>
    <t>Value</t>
  </si>
  <si>
    <t>Unit</t>
  </si>
  <si>
    <t>Source / note</t>
  </si>
  <si>
    <t>Land / establishment cost</t>
  </si>
  <si>
    <t>R$/ha</t>
  </si>
  <si>
    <t>Bracell-BTG (R$1.5bn / 54k ha). See 0_README caveats.</t>
  </si>
  <si>
    <t>Forestry productivity (MAI)</t>
  </si>
  <si>
    <t>m3/ha/yr</t>
  </si>
  <si>
    <t>Piketty et al. (2009): mean commercial Eucalyptus ~40 m3/ha/yr.</t>
  </si>
  <si>
    <t>Rotation length</t>
  </si>
  <si>
    <t>years</t>
  </si>
  <si>
    <t>BTG/Eco Invest term matched to 7-yr Eucalyptus cycle.</t>
  </si>
  <si>
    <t>Wood basic density (dry)</t>
  </si>
  <si>
    <t>t/m3</t>
  </si>
  <si>
    <t>Souza &amp; Pacca (2021), Tab 1. Replaces 0.25 from Otto thesis (suspected typo).</t>
  </si>
  <si>
    <t xml:space="preserve">  CALCULATED</t>
  </si>
  <si>
    <t>Result</t>
  </si>
  <si>
    <t>Logic</t>
  </si>
  <si>
    <t>Wood volume per ha (1 rotation)</t>
  </si>
  <si>
    <t>m3/ha</t>
  </si>
  <si>
    <t>MAI x rotation</t>
  </si>
  <si>
    <t>Wood mass per ha (1 rotation)</t>
  </si>
  <si>
    <t>t wood/ha</t>
  </si>
  <si>
    <t>volume x basic density</t>
  </si>
  <si>
    <t>Wood cost (undiscounted)</t>
  </si>
  <si>
    <t>R$/t wood</t>
  </si>
  <si>
    <t>land cost / wood mass per ha</t>
  </si>
  <si>
    <t>Discounting (Emilio Step 3) is applied in 3_BuildUp.</t>
  </si>
  <si>
    <t>Step 2 — Charcoaling (wood -&gt; charcoal)</t>
  </si>
  <si>
    <t>Mass loss in carbonisation + process cost + environmental control.</t>
  </si>
  <si>
    <t>Low</t>
  </si>
  <si>
    <t>High</t>
  </si>
  <si>
    <t>Gravimetric yield</t>
  </si>
  <si>
    <t>same</t>
  </si>
  <si>
    <t>t charcoal/t wood</t>
  </si>
  <si>
    <t>Souza &amp; Pacca (2021) / CGEE (2015). Range 0.26-0.30; 0.26 is the traditional-kiln baseline.</t>
  </si>
  <si>
    <t>Carbonisation process cost</t>
  </si>
  <si>
    <t>R$/t charcoal</t>
  </si>
  <si>
    <t>Environmental control / tar recovery</t>
  </si>
  <si>
    <t>Charcoal LHV</t>
  </si>
  <si>
    <t>kcal/kg</t>
  </si>
  <si>
    <t>Souza &amp; Pacca (2021) / Brazilian Energy Balance.</t>
  </si>
  <si>
    <t>Wood needed per t charcoal</t>
  </si>
  <si>
    <t>t wood / t charcoal</t>
  </si>
  <si>
    <t>1 / gravimetric yield</t>
  </si>
  <si>
    <t>Wood cost passed into charcoal</t>
  </si>
  <si>
    <t>wood cost x wood-per-charcoal (undiscounted)</t>
  </si>
  <si>
    <t>Charcoaling cost (process)</t>
  </si>
  <si>
    <t>process; environmental embedded in modern-kiln Opex (CGEE)</t>
  </si>
  <si>
    <t>Charcoal LHV in GJ/t</t>
  </si>
  <si>
    <t>GJ/t charcoal</t>
  </si>
  <si>
    <t>kcal/kg -&gt; GJ/t : x4.1868/1000</t>
  </si>
  <si>
    <t>Step 3 — Cost Build-Up: Low vs High charcoal price (R$)</t>
  </si>
  <si>
    <t>Combines wood + charcoaling + financial discounting (Emilio Step 3).</t>
  </si>
  <si>
    <t xml:space="preserve">  FINANCIAL ASSUMPTIONS</t>
  </si>
  <si>
    <t>Academic discount rate (Low case)</t>
  </si>
  <si>
    <t>real/yr</t>
  </si>
  <si>
    <t>Typical academic WACC.</t>
  </si>
  <si>
    <t>Market discount rate (High case)</t>
  </si>
  <si>
    <t>Capital immobilisation time</t>
  </si>
  <si>
    <t>Eucalyptus cycle (~7 yrs to first harvest).</t>
  </si>
  <si>
    <t xml:space="preserve">  CHARCOAL PRICE BUILD-UP (R$)</t>
  </si>
  <si>
    <t>Component</t>
  </si>
  <si>
    <t>Low (academic)</t>
  </si>
  <si>
    <t>High (market)</t>
  </si>
  <si>
    <t>Wood cost component (undiscounted)</t>
  </si>
  <si>
    <t>same wood cost before discounting</t>
  </si>
  <si>
    <t>Discount multiplier on wood capital</t>
  </si>
  <si>
    <t>factor</t>
  </si>
  <si>
    <t>(1+rate)^years</t>
  </si>
  <si>
    <t>Wood cost after discounting</t>
  </si>
  <si>
    <t>wood x discount</t>
  </si>
  <si>
    <t>Charcoaling cost (process + env.)</t>
  </si>
  <si>
    <t>not discounted</t>
  </si>
  <si>
    <t>TOTAL charcoal cost</t>
  </si>
  <si>
    <t>discounted wood + charcoaling</t>
  </si>
  <si>
    <t>TOTAL charcoal cost per GJ</t>
  </si>
  <si>
    <t>R$/GJ</t>
  </si>
  <si>
    <t>total / LHV(GJ/t)</t>
  </si>
  <si>
    <t>Note: charcoaling cost now Low/High differentiated (CGEE 2015 / Brito 2014).</t>
  </si>
  <si>
    <t>Note: environmental control removed - embedded in Opex of modern kilns per CGEE.</t>
  </si>
  <si>
    <t>Step 4 — Currency conversion R$/GJ -&gt; USD/GJ</t>
  </si>
  <si>
    <t>The optimisation model runs in USD. Convert here, with explicit FX rate.</t>
  </si>
  <si>
    <t xml:space="preserve">  EXCHANGE RATE</t>
  </si>
  <si>
    <t>BRL / USD exchange rate</t>
  </si>
  <si>
    <t>R$ per USD</t>
  </si>
  <si>
    <t>Approximate average rate; declare in methodology. Update if needed.</t>
  </si>
  <si>
    <t xml:space="preserve">  CONVERTED PRICES (USD/GJ)</t>
  </si>
  <si>
    <t>Item</t>
  </si>
  <si>
    <t>Charcoal price (USD/GJ)</t>
  </si>
  <si>
    <t>USD/GJ</t>
  </si>
  <si>
    <t>price R$/GJ divided by FX</t>
  </si>
  <si>
    <t xml:space="preserve">  CROSS-CHECK with current model value</t>
  </si>
  <si>
    <t>Charcoal price in model today (USD/GJ)</t>
  </si>
  <si>
    <t>From Model_Config Fuel_Prices, 2023 onwards.</t>
  </si>
  <si>
    <t>Low / Model ratio</t>
  </si>
  <si>
    <t>ratio</t>
  </si>
  <si>
    <t>How much higher Low (bottom-up academic) is vs current model</t>
  </si>
  <si>
    <t>High / Model ratio</t>
  </si>
  <si>
    <t>How much higher High (bottom-up market) is vs current model</t>
  </si>
  <si>
    <t>Marginal-cost stepwise supply curve. Replaces the endogenous/combined price scheme.</t>
  </si>
  <si>
    <t>Implemented in the optimisation script via CHARCOAL_TIER_WIDTH_PJ and CHARCOAL_TIER_PRICE.</t>
  </si>
  <si>
    <t xml:space="preserve">  CALIBRATION ANCHORS</t>
  </si>
  <si>
    <t>Anchor</t>
  </si>
  <si>
    <t>Source</t>
  </si>
  <si>
    <t>Current consumption (D_ref from V20_10)</t>
  </si>
  <si>
    <t>PJ/year</t>
  </si>
  <si>
    <t>resolve_charcoal_dref() output: 36,308,562 GJ ~= 36 PJ. Rounded.</t>
  </si>
  <si>
    <t>Tier 1 low price (current model)</t>
  </si>
  <si>
    <t>Current Fuel_Prices value. Anchors the cheap, consolidated supply.</t>
  </si>
  <si>
    <t>Bottom-up High (from 4_FX_to_USD)</t>
  </si>
  <si>
    <t>High case from this workbook = 4_FX_to_USD!D11. Used to anchor the upper part of the curve.</t>
  </si>
  <si>
    <t>Highest tier price (scenario)</t>
  </si>
  <si>
    <t>Top tier above bottom-up High - represents "pessimistic frontier" beyond what bottom-up captures.</t>
  </si>
  <si>
    <t>Tier</t>
  </si>
  <si>
    <t>Width (PJ/yr)</t>
  </si>
  <si>
    <t>Price (USD/GJ)</t>
  </si>
  <si>
    <t>Cum. ceiling (PJ)</t>
  </si>
  <si>
    <t>Cum. cost at ceiling (M USD)</t>
  </si>
  <si>
    <t>Tier 1 - consolidated supply</t>
  </si>
  <si>
    <t>Tier 2 - early expansion</t>
  </si>
  <si>
    <t>Tier 3 - mid expansion</t>
  </si>
  <si>
    <t>Tier 4 - late expansion</t>
  </si>
  <si>
    <t>Tier 5 - frontier supply</t>
  </si>
  <si>
    <t>Tier 6 - exhaustion premium</t>
  </si>
  <si>
    <t>TOTAL</t>
  </si>
  <si>
    <t xml:space="preserve">  CONSISTENCY CHECKS</t>
  </si>
  <si>
    <t>Sum of tiers vs physical cap (461 PJ)</t>
  </si>
  <si>
    <t>Tier 1 covers current consumption (36 PJ)?</t>
  </si>
  <si>
    <t>Prices monotonically increasing?</t>
  </si>
  <si>
    <t xml:space="preserve">  PROBE: marginal &amp; average price at sample demand levels</t>
  </si>
  <si>
    <t>Demand level</t>
  </si>
  <si>
    <t>GJ/year</t>
  </si>
  <si>
    <t>Marginal price (USD/GJ)</t>
  </si>
  <si>
    <t>Avg blended (USD/GJ)</t>
  </si>
  <si>
    <t>Current consumption (D_ref)</t>
  </si>
  <si>
    <t>Tier 1 ceiling</t>
  </si>
  <si>
    <t>Tier 2 ceiling</t>
  </si>
  <si>
    <t>Tier 3 ceiling</t>
  </si>
  <si>
    <t>Tier 4 ceiling</t>
  </si>
  <si>
    <t>Tier 5 ceiling</t>
  </si>
  <si>
    <t xml:space="preserve">  IMPLEMENTATION IN THE PYTHON MODEL</t>
  </si>
  <si>
    <t>Copy these lines into the Python script:</t>
  </si>
  <si>
    <t>CHARCOAL_TIER_WIDTH_PJ</t>
  </si>
  <si>
    <t>CHARCOAL_TIER_PRICE</t>
  </si>
  <si>
    <t>Edit BLUE cells above and these auto-update.</t>
  </si>
  <si>
    <t>Hebeda (2024); Pinto et al. (2018): 461,450 TJ = 461 PJ. Hard upper bound.</t>
  </si>
  <si>
    <t xml:space="preserve">[25.0, 10.0, 10.0, 10.0, 10.0, 10.0, 25.0, 50.0] </t>
  </si>
  <si>
    <t>CGEE (2015) Tab.33: Low = trad. kiln (R$30k/260 t.cv); High = improved (R$36k/260 t.cv).</t>
  </si>
  <si>
    <t>5_Tiers         — EIGHT-TIER supply curve (USD/GJ vs PJ/year), to feed the Python script.</t>
  </si>
  <si>
    <t>real market rates exceed academic ones.</t>
  </si>
  <si>
    <t>Step 5 — Tiered Charcoal Supply Curve (8 tiers, USD/GJ vs PJ/year)</t>
  </si>
  <si>
    <t xml:space="preserve">  EIGHT-TIER SUPPLY CURVE  (edit BLUE cells to recalibrate)</t>
  </si>
  <si>
    <t>Tier 7 - extension</t>
  </si>
  <si>
    <t>Tier 8 - extension (top of curve)</t>
  </si>
  <si>
    <t>Physical cap (aditional information)</t>
  </si>
  <si>
    <t>[9.8, 13.0, 16.0, 19.0, 22.0, 25.0, 28.0, 32.0]</t>
  </si>
  <si>
    <t>Charcoal Cost Build-Up &amp; Tiered Supply Curve  —  v6</t>
  </si>
  <si>
    <t>Tier 6 ceiling</t>
  </si>
  <si>
    <t>Tier 7 ceiling</t>
  </si>
  <si>
    <t>Tier 8 ceiling</t>
  </si>
  <si>
    <t>Implied elasticity (Soares et al. (2004), 2SLS: 1.25)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</si>
</sst>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color rgb="FF555555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11"/>
      <color rgb="FFC0000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Consolas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0" xfId="0" applyFont="1" applyFill="1"/>
    <xf numFmtId="0" fontId="0" fillId="3" borderId="0" xfId="0" applyFill="1"/>
    <xf numFmtId="0" fontId="3" fillId="4" borderId="0" xfId="0" applyFont="1" applyFill="1"/>
    <xf numFmtId="0" fontId="4" fillId="0" borderId="1" xfId="0" applyFont="1" applyBorder="1"/>
    <xf numFmtId="0" fontId="5" fillId="2" borderId="1" xfId="0" applyFont="1" applyFill="1" applyBorder="1"/>
    <xf numFmtId="0" fontId="9" fillId="0" borderId="0" xfId="0" applyFont="1"/>
    <xf numFmtId="0" fontId="2" fillId="0" borderId="1" xfId="0" applyFont="1" applyBorder="1"/>
    <xf numFmtId="0" fontId="9" fillId="3" borderId="0" xfId="0" applyFont="1" applyFill="1"/>
    <xf numFmtId="0" fontId="6" fillId="0" borderId="1" xfId="0" applyFont="1" applyBorder="1"/>
    <xf numFmtId="0" fontId="0" fillId="0" borderId="1" xfId="0" applyBorder="1"/>
    <xf numFmtId="0" fontId="3" fillId="0" borderId="1" xfId="0" applyFont="1" applyBorder="1"/>
    <xf numFmtId="0" fontId="3" fillId="5" borderId="1" xfId="0" applyFont="1" applyFill="1" applyBorder="1"/>
    <xf numFmtId="0" fontId="3" fillId="6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2" fillId="0" borderId="0" xfId="0" applyFont="1" applyAlignment="1">
      <alignment vertical="top" wrapText="1"/>
    </xf>
    <xf numFmtId="0" fontId="9" fillId="0" borderId="1" xfId="0" applyFont="1" applyBorder="1"/>
    <xf numFmtId="0" fontId="10" fillId="0" borderId="0" xfId="0" applyFont="1"/>
    <xf numFmtId="0" fontId="3" fillId="0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'5_Tiers'!$E$15</c:f>
              <c:strCache>
                <c:ptCount val="1"/>
                <c:pt idx="0">
                  <c:v>Cum. ceiling (PJ)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'5_Tiers'!$D$16:$D$23</c:f>
              <c:numCache>
                <c:formatCode>General</c:formatCode>
                <c:ptCount val="8"/>
                <c:pt idx="0">
                  <c:v>9.8000000000000007</c:v>
                </c:pt>
                <c:pt idx="1">
                  <c:v>13</c:v>
                </c:pt>
                <c:pt idx="2">
                  <c:v>16</c:v>
                </c:pt>
                <c:pt idx="3">
                  <c:v>19</c:v>
                </c:pt>
                <c:pt idx="4">
                  <c:v>22</c:v>
                </c:pt>
                <c:pt idx="5">
                  <c:v>25</c:v>
                </c:pt>
                <c:pt idx="6">
                  <c:v>28</c:v>
                </c:pt>
                <c:pt idx="7">
                  <c:v>32</c:v>
                </c:pt>
              </c:numCache>
            </c:numRef>
          </c:cat>
          <c:val>
            <c:numRef>
              <c:f>'5_Tiers'!$E$16:$E$23</c:f>
              <c:numCache>
                <c:formatCode>General</c:formatCode>
                <c:ptCount val="8"/>
                <c:pt idx="0">
                  <c:v>25</c:v>
                </c:pt>
                <c:pt idx="1">
                  <c:v>35</c:v>
                </c:pt>
                <c:pt idx="2">
                  <c:v>45</c:v>
                </c:pt>
                <c:pt idx="3">
                  <c:v>55</c:v>
                </c:pt>
                <c:pt idx="4">
                  <c:v>65</c:v>
                </c:pt>
                <c:pt idx="5">
                  <c:v>75</c:v>
                </c:pt>
                <c:pt idx="6">
                  <c:v>100</c:v>
                </c:pt>
                <c:pt idx="7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79-4DB5-8381-F3F3323E2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1267264"/>
        <c:axId val="1701375120"/>
      </c:lineChart>
      <c:catAx>
        <c:axId val="136126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1375120"/>
        <c:crosses val="autoZero"/>
        <c:auto val="1"/>
        <c:lblAlgn val="ctr"/>
        <c:lblOffset val="100"/>
        <c:noMultiLvlLbl val="0"/>
      </c:catAx>
      <c:valAx>
        <c:axId val="170137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126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2735580</xdr:colOff>
      <xdr:row>14</xdr:row>
      <xdr:rowOff>62865</xdr:rowOff>
    </xdr:from>
    <xdr:to>
      <xdr:col>10</xdr:col>
      <xdr:colOff>424815</xdr:colOff>
      <xdr:row>24</xdr:row>
      <xdr:rowOff>25717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9B98132-9E9F-FF33-5902-EFFDE236E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45"/>
  <sheetViews>
    <sheetView zoomScaleNormal="100" workbookViewId="0">
      <selection activeCell="B3" sqref="B3"/>
    </sheetView>
  </sheetViews>
  <sheetFormatPr defaultColWidth="8.6640625" defaultRowHeight="14.4" x14ac:dyDescent="0.3"/>
  <cols>
    <col min="1" max="1" width="3" customWidth="1"/>
    <col min="2" max="2" width="32" customWidth="1"/>
    <col min="3" max="6" width="14" customWidth="1"/>
    <col min="7" max="7" width="50" customWidth="1"/>
  </cols>
  <sheetData>
    <row r="2" spans="2:2" ht="15.75" customHeight="1" x14ac:dyDescent="0.3">
      <c r="B2" s="1" t="s">
        <v>176</v>
      </c>
    </row>
    <row r="3" spans="2:2" ht="15" customHeight="1" x14ac:dyDescent="0.3">
      <c r="B3" s="2" t="s">
        <v>0</v>
      </c>
    </row>
    <row r="5" spans="2:2" ht="15" customHeight="1" x14ac:dyDescent="0.3">
      <c r="B5" s="3" t="s">
        <v>1</v>
      </c>
    </row>
    <row r="6" spans="2:2" ht="15" customHeight="1" x14ac:dyDescent="0.3">
      <c r="B6" s="4" t="s">
        <v>2</v>
      </c>
    </row>
    <row r="7" spans="2:2" ht="15" customHeight="1" x14ac:dyDescent="0.3">
      <c r="B7" s="4" t="s">
        <v>3</v>
      </c>
    </row>
    <row r="8" spans="2:2" ht="15" customHeight="1" x14ac:dyDescent="0.3">
      <c r="B8" s="4" t="s">
        <v>4</v>
      </c>
    </row>
    <row r="9" spans="2:2" ht="15" customHeight="1" x14ac:dyDescent="0.3">
      <c r="B9" s="4" t="s">
        <v>5</v>
      </c>
    </row>
    <row r="10" spans="2:2" ht="15" customHeight="1" x14ac:dyDescent="0.3">
      <c r="B10" s="4" t="s">
        <v>168</v>
      </c>
    </row>
    <row r="13" spans="2:2" ht="15" customHeight="1" x14ac:dyDescent="0.3">
      <c r="B13" s="3" t="s">
        <v>6</v>
      </c>
    </row>
    <row r="14" spans="2:2" ht="15" customHeight="1" x14ac:dyDescent="0.3">
      <c r="B14" s="5" t="s">
        <v>7</v>
      </c>
    </row>
    <row r="15" spans="2:2" ht="15" customHeight="1" x14ac:dyDescent="0.3">
      <c r="B15" s="4" t="s">
        <v>8</v>
      </c>
    </row>
    <row r="16" spans="2:2" ht="15" customHeight="1" x14ac:dyDescent="0.3">
      <c r="B16" s="6" t="s">
        <v>9</v>
      </c>
    </row>
    <row r="17" spans="2:2" ht="15" customHeight="1" x14ac:dyDescent="0.3">
      <c r="B17" s="4"/>
    </row>
    <row r="19" spans="2:2" ht="15" customHeight="1" x14ac:dyDescent="0.3">
      <c r="B19" s="7" t="s">
        <v>10</v>
      </c>
    </row>
    <row r="20" spans="2:2" ht="15" customHeight="1" x14ac:dyDescent="0.3">
      <c r="B20" s="2" t="s">
        <v>11</v>
      </c>
    </row>
    <row r="21" spans="2:2" ht="15" customHeight="1" x14ac:dyDescent="0.3">
      <c r="B21" s="2" t="s">
        <v>12</v>
      </c>
    </row>
    <row r="22" spans="2:2" ht="15" customHeight="1" x14ac:dyDescent="0.3">
      <c r="B22" s="2" t="s">
        <v>13</v>
      </c>
    </row>
    <row r="23" spans="2:2" ht="15" customHeight="1" x14ac:dyDescent="0.3">
      <c r="B23" s="2" t="s">
        <v>14</v>
      </c>
    </row>
    <row r="24" spans="2:2" ht="15" customHeight="1" x14ac:dyDescent="0.3">
      <c r="B24" s="2"/>
    </row>
    <row r="25" spans="2:2" ht="15" customHeight="1" x14ac:dyDescent="0.3">
      <c r="B25" s="2"/>
    </row>
    <row r="26" spans="2:2" ht="15" customHeight="1" x14ac:dyDescent="0.3">
      <c r="B26" s="2"/>
    </row>
    <row r="27" spans="2:2" ht="15" customHeight="1" x14ac:dyDescent="0.3">
      <c r="B27" s="2"/>
    </row>
    <row r="28" spans="2:2" ht="15" customHeight="1" x14ac:dyDescent="0.3">
      <c r="B28" s="2"/>
    </row>
    <row r="29" spans="2:2" ht="15" customHeight="1" x14ac:dyDescent="0.3">
      <c r="B29" s="2"/>
    </row>
    <row r="30" spans="2:2" ht="15" customHeight="1" x14ac:dyDescent="0.3">
      <c r="B30" s="2"/>
    </row>
    <row r="33" spans="2:2" ht="15" customHeight="1" x14ac:dyDescent="0.3">
      <c r="B33" s="3"/>
    </row>
    <row r="34" spans="2:2" ht="15" customHeight="1" x14ac:dyDescent="0.3">
      <c r="B34" s="2"/>
    </row>
    <row r="35" spans="2:2" ht="15" customHeight="1" x14ac:dyDescent="0.3">
      <c r="B35" s="2"/>
    </row>
    <row r="36" spans="2:2" ht="15" customHeight="1" x14ac:dyDescent="0.3">
      <c r="B36" s="2"/>
    </row>
    <row r="40" spans="2:2" x14ac:dyDescent="0.3">
      <c r="B40" s="3"/>
    </row>
    <row r="41" spans="2:2" x14ac:dyDescent="0.3">
      <c r="B41" s="2"/>
    </row>
    <row r="42" spans="2:2" x14ac:dyDescent="0.3">
      <c r="B42" s="2"/>
    </row>
    <row r="43" spans="2:2" x14ac:dyDescent="0.3">
      <c r="B43" s="2"/>
    </row>
    <row r="44" spans="2:2" x14ac:dyDescent="0.3">
      <c r="B44" s="2"/>
    </row>
    <row r="45" spans="2:2" x14ac:dyDescent="0.3">
      <c r="B45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zoomScaleNormal="100" workbookViewId="0">
      <selection activeCell="C7" sqref="C7:C10"/>
    </sheetView>
  </sheetViews>
  <sheetFormatPr defaultColWidth="8.6640625" defaultRowHeight="14.4" x14ac:dyDescent="0.3"/>
  <cols>
    <col min="1" max="1" width="3" customWidth="1"/>
    <col min="2" max="2" width="40" customWidth="1"/>
    <col min="3" max="3" width="16" customWidth="1"/>
    <col min="4" max="4" width="12" customWidth="1"/>
    <col min="5" max="5" width="6" customWidth="1"/>
    <col min="6" max="6" width="55" customWidth="1"/>
  </cols>
  <sheetData>
    <row r="2" spans="1:6" ht="15.75" customHeight="1" x14ac:dyDescent="0.3">
      <c r="B2" s="1" t="s">
        <v>15</v>
      </c>
    </row>
    <row r="3" spans="1:6" ht="15" customHeight="1" x14ac:dyDescent="0.3">
      <c r="B3" s="2" t="s">
        <v>16</v>
      </c>
    </row>
    <row r="5" spans="1:6" ht="15" customHeight="1" x14ac:dyDescent="0.3">
      <c r="A5" s="8" t="s">
        <v>17</v>
      </c>
      <c r="B5" s="9"/>
      <c r="C5" s="9"/>
      <c r="D5" s="9"/>
      <c r="E5" s="9"/>
      <c r="F5" s="9"/>
    </row>
    <row r="6" spans="1:6" ht="15" customHeight="1" x14ac:dyDescent="0.3">
      <c r="B6" s="10" t="s">
        <v>18</v>
      </c>
      <c r="C6" s="10" t="s">
        <v>19</v>
      </c>
      <c r="D6" s="10" t="s">
        <v>20</v>
      </c>
      <c r="F6" s="10" t="s">
        <v>21</v>
      </c>
    </row>
    <row r="7" spans="1:6" ht="15" customHeight="1" x14ac:dyDescent="0.3">
      <c r="B7" s="11" t="s">
        <v>22</v>
      </c>
      <c r="C7" s="12">
        <v>27778</v>
      </c>
      <c r="D7" s="11" t="s">
        <v>23</v>
      </c>
      <c r="F7" s="2" t="s">
        <v>24</v>
      </c>
    </row>
    <row r="8" spans="1:6" ht="15" customHeight="1" x14ac:dyDescent="0.3">
      <c r="B8" s="11" t="s">
        <v>25</v>
      </c>
      <c r="C8" s="12">
        <v>40</v>
      </c>
      <c r="D8" s="11" t="s">
        <v>26</v>
      </c>
      <c r="F8" s="2" t="s">
        <v>27</v>
      </c>
    </row>
    <row r="9" spans="1:6" ht="15" customHeight="1" x14ac:dyDescent="0.3">
      <c r="B9" s="11" t="s">
        <v>28</v>
      </c>
      <c r="C9" s="12">
        <v>7</v>
      </c>
      <c r="D9" s="11" t="s">
        <v>29</v>
      </c>
      <c r="F9" s="2" t="s">
        <v>30</v>
      </c>
    </row>
    <row r="10" spans="1:6" ht="15" customHeight="1" x14ac:dyDescent="0.3">
      <c r="B10" s="11" t="s">
        <v>31</v>
      </c>
      <c r="C10" s="12">
        <v>0.5</v>
      </c>
      <c r="D10" s="11" t="s">
        <v>32</v>
      </c>
      <c r="F10" s="2" t="s">
        <v>33</v>
      </c>
    </row>
    <row r="12" spans="1:6" ht="15" customHeight="1" x14ac:dyDescent="0.3">
      <c r="A12" s="8" t="s">
        <v>34</v>
      </c>
      <c r="B12" s="9"/>
      <c r="C12" s="9"/>
      <c r="D12" s="9"/>
      <c r="E12" s="9"/>
      <c r="F12" s="9"/>
    </row>
    <row r="13" spans="1:6" ht="15" customHeight="1" x14ac:dyDescent="0.3">
      <c r="B13" s="10" t="s">
        <v>35</v>
      </c>
      <c r="C13" s="10" t="s">
        <v>19</v>
      </c>
      <c r="D13" s="10" t="s">
        <v>20</v>
      </c>
      <c r="F13" s="10" t="s">
        <v>36</v>
      </c>
    </row>
    <row r="14" spans="1:6" ht="15" customHeight="1" x14ac:dyDescent="0.3">
      <c r="B14" s="11" t="s">
        <v>37</v>
      </c>
      <c r="C14" s="11">
        <f>C8*C9</f>
        <v>280</v>
      </c>
      <c r="D14" s="11" t="s">
        <v>38</v>
      </c>
      <c r="F14" s="2" t="s">
        <v>39</v>
      </c>
    </row>
    <row r="15" spans="1:6" ht="15" customHeight="1" x14ac:dyDescent="0.3">
      <c r="B15" s="11" t="s">
        <v>40</v>
      </c>
      <c r="C15" s="11">
        <f>C14*C10</f>
        <v>140</v>
      </c>
      <c r="D15" s="11" t="s">
        <v>41</v>
      </c>
      <c r="F15" s="2" t="s">
        <v>42</v>
      </c>
    </row>
    <row r="16" spans="1:6" ht="15" customHeight="1" x14ac:dyDescent="0.3">
      <c r="B16" s="11" t="s">
        <v>43</v>
      </c>
      <c r="C16" s="11">
        <f>C7/C15</f>
        <v>198.41428571428571</v>
      </c>
      <c r="D16" s="11" t="s">
        <v>44</v>
      </c>
      <c r="F16" s="2" t="s">
        <v>45</v>
      </c>
    </row>
    <row r="18" spans="2:2" ht="15" customHeight="1" x14ac:dyDescent="0.3">
      <c r="B18" s="2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17"/>
  <sheetViews>
    <sheetView zoomScaleNormal="100" workbookViewId="0">
      <selection activeCell="G9" sqref="G9"/>
    </sheetView>
  </sheetViews>
  <sheetFormatPr defaultColWidth="8.6640625" defaultRowHeight="14.4" x14ac:dyDescent="0.3"/>
  <cols>
    <col min="1" max="1" width="3" customWidth="1"/>
    <col min="2" max="2" width="40" customWidth="1"/>
    <col min="3" max="3" width="16" customWidth="1"/>
    <col min="4" max="4" width="18" customWidth="1"/>
    <col min="5" max="5" width="6" customWidth="1"/>
    <col min="6" max="6" width="55" customWidth="1"/>
  </cols>
  <sheetData>
    <row r="2" spans="1:7" ht="15.75" customHeight="1" x14ac:dyDescent="0.3">
      <c r="B2" s="1" t="s">
        <v>47</v>
      </c>
    </row>
    <row r="3" spans="1:7" ht="15" customHeight="1" x14ac:dyDescent="0.3">
      <c r="B3" s="2" t="s">
        <v>48</v>
      </c>
    </row>
    <row r="5" spans="1:7" ht="15" customHeight="1" x14ac:dyDescent="0.3">
      <c r="A5" s="8" t="s">
        <v>17</v>
      </c>
      <c r="B5" s="9"/>
      <c r="C5" s="9"/>
      <c r="D5" s="9"/>
      <c r="E5" s="9"/>
      <c r="F5" s="9"/>
      <c r="G5" s="9"/>
    </row>
    <row r="6" spans="1:7" ht="15" customHeight="1" x14ac:dyDescent="0.3">
      <c r="B6" s="10" t="s">
        <v>18</v>
      </c>
      <c r="C6" s="10" t="s">
        <v>49</v>
      </c>
      <c r="D6" s="10" t="s">
        <v>50</v>
      </c>
      <c r="E6" s="10" t="s">
        <v>20</v>
      </c>
      <c r="F6" s="13"/>
      <c r="G6" s="10" t="s">
        <v>21</v>
      </c>
    </row>
    <row r="7" spans="1:7" ht="15" customHeight="1" x14ac:dyDescent="0.3">
      <c r="B7" s="11" t="s">
        <v>51</v>
      </c>
      <c r="C7" s="12">
        <v>0.26</v>
      </c>
      <c r="D7" s="14" t="s">
        <v>52</v>
      </c>
      <c r="E7" s="11" t="s">
        <v>53</v>
      </c>
      <c r="F7" s="13"/>
      <c r="G7" s="2" t="s">
        <v>54</v>
      </c>
    </row>
    <row r="8" spans="1:7" ht="15" customHeight="1" x14ac:dyDescent="0.3">
      <c r="B8" s="11" t="s">
        <v>55</v>
      </c>
      <c r="C8" s="12">
        <v>115</v>
      </c>
      <c r="D8" s="12">
        <v>138</v>
      </c>
      <c r="E8" s="11" t="s">
        <v>56</v>
      </c>
      <c r="F8" s="13"/>
      <c r="G8" s="2" t="s">
        <v>167</v>
      </c>
    </row>
    <row r="9" spans="1:7" ht="15" customHeight="1" x14ac:dyDescent="0.3">
      <c r="B9" s="14" t="s">
        <v>57</v>
      </c>
      <c r="C9" s="14">
        <v>0</v>
      </c>
      <c r="D9" s="14">
        <v>0</v>
      </c>
      <c r="E9" s="14" t="s">
        <v>56</v>
      </c>
      <c r="F9" s="13"/>
      <c r="G9" s="2"/>
    </row>
    <row r="10" spans="1:7" ht="15" customHeight="1" x14ac:dyDescent="0.3">
      <c r="B10" s="11" t="s">
        <v>58</v>
      </c>
      <c r="C10" s="12">
        <v>6460</v>
      </c>
      <c r="D10" s="14" t="s">
        <v>52</v>
      </c>
      <c r="E10" s="11" t="s">
        <v>59</v>
      </c>
      <c r="F10" s="13"/>
      <c r="G10" s="2" t="s">
        <v>60</v>
      </c>
    </row>
    <row r="11" spans="1:7" ht="15" customHeight="1" x14ac:dyDescent="0.3">
      <c r="B11" s="13"/>
      <c r="C11" s="13"/>
      <c r="D11" s="13"/>
      <c r="E11" s="13"/>
      <c r="F11" s="13"/>
      <c r="G11" s="13"/>
    </row>
    <row r="12" spans="1:7" ht="15" customHeight="1" x14ac:dyDescent="0.3">
      <c r="A12" s="8" t="s">
        <v>34</v>
      </c>
      <c r="B12" s="15"/>
      <c r="C12" s="15"/>
      <c r="D12" s="15"/>
      <c r="E12" s="15"/>
      <c r="F12" s="15"/>
      <c r="G12" s="15"/>
    </row>
    <row r="13" spans="1:7" ht="15" customHeight="1" x14ac:dyDescent="0.3">
      <c r="B13" s="10" t="s">
        <v>35</v>
      </c>
      <c r="C13" s="10" t="s">
        <v>49</v>
      </c>
      <c r="D13" s="10" t="s">
        <v>50</v>
      </c>
      <c r="E13" s="10" t="s">
        <v>20</v>
      </c>
      <c r="F13" s="13"/>
      <c r="G13" s="10" t="s">
        <v>36</v>
      </c>
    </row>
    <row r="14" spans="1:7" ht="15" customHeight="1" x14ac:dyDescent="0.3">
      <c r="B14" s="11" t="s">
        <v>61</v>
      </c>
      <c r="C14" s="11">
        <f>1/C7</f>
        <v>3.8461538461538458</v>
      </c>
      <c r="D14" s="11">
        <f>C14</f>
        <v>3.8461538461538458</v>
      </c>
      <c r="E14" s="11" t="s">
        <v>62</v>
      </c>
      <c r="F14" s="13"/>
      <c r="G14" s="2" t="s">
        <v>63</v>
      </c>
    </row>
    <row r="15" spans="1:7" ht="15" customHeight="1" x14ac:dyDescent="0.3">
      <c r="B15" s="11" t="s">
        <v>64</v>
      </c>
      <c r="C15" s="16">
        <f>'1_Wood'!C16*C14</f>
        <v>763.13186813186803</v>
      </c>
      <c r="D15" s="16">
        <f>'1_Wood'!C16*D14</f>
        <v>763.13186813186803</v>
      </c>
      <c r="E15" s="11" t="s">
        <v>56</v>
      </c>
      <c r="F15" s="13"/>
      <c r="G15" s="2" t="s">
        <v>65</v>
      </c>
    </row>
    <row r="16" spans="1:7" ht="15" customHeight="1" x14ac:dyDescent="0.3">
      <c r="B16" s="11" t="s">
        <v>66</v>
      </c>
      <c r="C16" s="11">
        <f>C8+C9</f>
        <v>115</v>
      </c>
      <c r="D16" s="11">
        <f>D8+D9</f>
        <v>138</v>
      </c>
      <c r="E16" s="11" t="s">
        <v>56</v>
      </c>
      <c r="F16" s="13"/>
      <c r="G16" s="2" t="s">
        <v>67</v>
      </c>
    </row>
    <row r="17" spans="2:7" ht="15" customHeight="1" x14ac:dyDescent="0.3">
      <c r="B17" s="11" t="s">
        <v>68</v>
      </c>
      <c r="C17" s="11">
        <f>C10*4.1868/1000</f>
        <v>27.046727999999998</v>
      </c>
      <c r="D17" s="11">
        <f>C17</f>
        <v>27.046727999999998</v>
      </c>
      <c r="E17" s="11" t="s">
        <v>69</v>
      </c>
      <c r="F17" s="13"/>
      <c r="G17" s="2" t="s">
        <v>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20"/>
  <sheetViews>
    <sheetView zoomScaleNormal="100" workbookViewId="0">
      <selection activeCell="G7" sqref="G7"/>
    </sheetView>
  </sheetViews>
  <sheetFormatPr defaultColWidth="8.6640625" defaultRowHeight="14.4" x14ac:dyDescent="0.3"/>
  <cols>
    <col min="1" max="1" width="3" customWidth="1"/>
    <col min="2" max="2" width="40" customWidth="1"/>
    <col min="3" max="4" width="16" customWidth="1"/>
    <col min="5" max="5" width="14" customWidth="1"/>
    <col min="6" max="6" width="6" customWidth="1"/>
    <col min="7" max="7" width="50" customWidth="1"/>
  </cols>
  <sheetData>
    <row r="2" spans="1:7" ht="15.75" customHeight="1" x14ac:dyDescent="0.3">
      <c r="B2" s="1" t="s">
        <v>71</v>
      </c>
    </row>
    <row r="3" spans="1:7" ht="15" customHeight="1" x14ac:dyDescent="0.3">
      <c r="B3" s="2" t="s">
        <v>72</v>
      </c>
    </row>
    <row r="5" spans="1:7" ht="15" customHeight="1" x14ac:dyDescent="0.3">
      <c r="A5" s="8" t="s">
        <v>73</v>
      </c>
      <c r="B5" s="9"/>
      <c r="C5" s="9"/>
      <c r="D5" s="9"/>
      <c r="E5" s="9"/>
      <c r="F5" s="9"/>
      <c r="G5" s="9"/>
    </row>
    <row r="6" spans="1:7" ht="15" customHeight="1" x14ac:dyDescent="0.3">
      <c r="B6" s="10" t="s">
        <v>18</v>
      </c>
      <c r="C6" s="10" t="s">
        <v>19</v>
      </c>
      <c r="D6" s="10" t="s">
        <v>20</v>
      </c>
      <c r="G6" s="10" t="s">
        <v>21</v>
      </c>
    </row>
    <row r="7" spans="1:7" ht="15" customHeight="1" x14ac:dyDescent="0.3">
      <c r="B7" s="11" t="s">
        <v>74</v>
      </c>
      <c r="C7" s="12">
        <v>0.08</v>
      </c>
      <c r="D7" s="11" t="s">
        <v>75</v>
      </c>
      <c r="G7" s="2" t="s">
        <v>76</v>
      </c>
    </row>
    <row r="8" spans="1:7" ht="15" customHeight="1" x14ac:dyDescent="0.3">
      <c r="B8" s="11" t="s">
        <v>77</v>
      </c>
      <c r="C8" s="12">
        <v>0.15</v>
      </c>
      <c r="D8" s="11" t="s">
        <v>75</v>
      </c>
      <c r="G8" s="2" t="s">
        <v>169</v>
      </c>
    </row>
    <row r="9" spans="1:7" ht="15" customHeight="1" x14ac:dyDescent="0.3">
      <c r="B9" s="11" t="s">
        <v>78</v>
      </c>
      <c r="C9" s="12">
        <v>7</v>
      </c>
      <c r="D9" s="11" t="s">
        <v>29</v>
      </c>
      <c r="G9" s="2" t="s">
        <v>79</v>
      </c>
    </row>
    <row r="11" spans="1:7" ht="15" customHeight="1" x14ac:dyDescent="0.3">
      <c r="A11" s="8" t="s">
        <v>80</v>
      </c>
      <c r="B11" s="9"/>
      <c r="C11" s="9"/>
      <c r="D11" s="9"/>
      <c r="E11" s="9"/>
      <c r="F11" s="9"/>
      <c r="G11" s="9"/>
    </row>
    <row r="12" spans="1:7" ht="15" customHeight="1" x14ac:dyDescent="0.3">
      <c r="B12" s="10" t="s">
        <v>81</v>
      </c>
      <c r="C12" s="10" t="s">
        <v>82</v>
      </c>
      <c r="D12" s="10" t="s">
        <v>83</v>
      </c>
      <c r="E12" s="10" t="s">
        <v>20</v>
      </c>
      <c r="G12" s="10" t="s">
        <v>36</v>
      </c>
    </row>
    <row r="13" spans="1:7" ht="15" customHeight="1" x14ac:dyDescent="0.3">
      <c r="B13" s="17" t="s">
        <v>84</v>
      </c>
      <c r="C13" s="16">
        <f>'2_Charcoaling'!C15</f>
        <v>763.13186813186803</v>
      </c>
      <c r="D13" s="16">
        <f>'2_Charcoaling'!C15</f>
        <v>763.13186813186803</v>
      </c>
      <c r="E13" s="17" t="s">
        <v>56</v>
      </c>
      <c r="G13" s="2" t="s">
        <v>85</v>
      </c>
    </row>
    <row r="14" spans="1:7" ht="15" customHeight="1" x14ac:dyDescent="0.3">
      <c r="B14" s="17" t="s">
        <v>86</v>
      </c>
      <c r="C14" s="11">
        <f>(1+C7)^C9</f>
        <v>1.7138242687795207</v>
      </c>
      <c r="D14" s="11">
        <f>(1+C8)^C9</f>
        <v>2.6600198804687483</v>
      </c>
      <c r="E14" s="17" t="s">
        <v>87</v>
      </c>
      <c r="G14" s="2" t="s">
        <v>88</v>
      </c>
    </row>
    <row r="15" spans="1:7" ht="15" customHeight="1" x14ac:dyDescent="0.3">
      <c r="B15" s="17" t="s">
        <v>89</v>
      </c>
      <c r="C15" s="11">
        <f>C13*C14</f>
        <v>1307.8739158834483</v>
      </c>
      <c r="D15" s="11">
        <f>D13*D14</f>
        <v>2029.9459406500241</v>
      </c>
      <c r="E15" s="17" t="s">
        <v>56</v>
      </c>
      <c r="G15" s="2" t="s">
        <v>90</v>
      </c>
    </row>
    <row r="16" spans="1:7" ht="15" customHeight="1" x14ac:dyDescent="0.3">
      <c r="B16" s="17" t="s">
        <v>91</v>
      </c>
      <c r="C16" s="16">
        <f>'2_Charcoaling'!C16</f>
        <v>115</v>
      </c>
      <c r="D16" s="16">
        <f>'2_Charcoaling'!D16</f>
        <v>138</v>
      </c>
      <c r="E16" s="17" t="s">
        <v>56</v>
      </c>
      <c r="G16" s="2" t="s">
        <v>92</v>
      </c>
    </row>
    <row r="17" spans="2:7" ht="15" customHeight="1" x14ac:dyDescent="0.3">
      <c r="B17" s="18" t="s">
        <v>93</v>
      </c>
      <c r="C17" s="19">
        <f>C15+C16</f>
        <v>1422.8739158834483</v>
      </c>
      <c r="D17" s="20">
        <f>D15+D16</f>
        <v>2167.9459406500241</v>
      </c>
      <c r="E17" s="17" t="s">
        <v>56</v>
      </c>
      <c r="G17" s="2" t="s">
        <v>94</v>
      </c>
    </row>
    <row r="18" spans="2:7" ht="15" customHeight="1" x14ac:dyDescent="0.3">
      <c r="B18" s="18" t="s">
        <v>95</v>
      </c>
      <c r="C18" s="21">
        <f>C17/'2_Charcoaling'!C17</f>
        <v>52.607987032052392</v>
      </c>
      <c r="D18" s="22">
        <f>D17/'2_Charcoaling'!C17</f>
        <v>80.155571522367666</v>
      </c>
      <c r="E18" s="17" t="s">
        <v>96</v>
      </c>
      <c r="G18" s="2" t="s">
        <v>97</v>
      </c>
    </row>
    <row r="19" spans="2:7" ht="15" customHeight="1" x14ac:dyDescent="0.3">
      <c r="B19" s="2" t="s">
        <v>98</v>
      </c>
    </row>
    <row r="20" spans="2:7" ht="15" customHeight="1" x14ac:dyDescent="0.3">
      <c r="B20" s="2" t="s">
        <v>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17"/>
  <sheetViews>
    <sheetView zoomScaleNormal="100" workbookViewId="0">
      <selection activeCell="G17" sqref="G17"/>
    </sheetView>
  </sheetViews>
  <sheetFormatPr defaultColWidth="8.6640625" defaultRowHeight="14.4" x14ac:dyDescent="0.3"/>
  <cols>
    <col min="1" max="1" width="3" customWidth="1"/>
    <col min="2" max="2" width="40" customWidth="1"/>
    <col min="3" max="4" width="16" customWidth="1"/>
    <col min="5" max="5" width="14" customWidth="1"/>
    <col min="6" max="6" width="6" customWidth="1"/>
    <col min="7" max="7" width="50" customWidth="1"/>
  </cols>
  <sheetData>
    <row r="2" spans="1:7" ht="15.75" customHeight="1" x14ac:dyDescent="0.3">
      <c r="B2" s="1" t="s">
        <v>100</v>
      </c>
    </row>
    <row r="3" spans="1:7" ht="15" customHeight="1" x14ac:dyDescent="0.3">
      <c r="B3" s="2" t="s">
        <v>101</v>
      </c>
    </row>
    <row r="5" spans="1:7" ht="15" customHeight="1" x14ac:dyDescent="0.3">
      <c r="A5" s="8" t="s">
        <v>102</v>
      </c>
      <c r="B5" s="9"/>
      <c r="C5" s="9"/>
      <c r="D5" s="9"/>
      <c r="E5" s="9"/>
      <c r="F5" s="9"/>
      <c r="G5" s="9"/>
    </row>
    <row r="6" spans="1:7" ht="15" customHeight="1" x14ac:dyDescent="0.3">
      <c r="B6" s="10" t="s">
        <v>18</v>
      </c>
      <c r="C6" s="10" t="s">
        <v>19</v>
      </c>
      <c r="D6" s="10" t="s">
        <v>20</v>
      </c>
      <c r="G6" s="10" t="s">
        <v>21</v>
      </c>
    </row>
    <row r="7" spans="1:7" ht="15" customHeight="1" x14ac:dyDescent="0.3">
      <c r="B7" s="17" t="s">
        <v>103</v>
      </c>
      <c r="C7" s="12">
        <v>5</v>
      </c>
      <c r="D7" s="17" t="s">
        <v>104</v>
      </c>
      <c r="G7" s="2" t="s">
        <v>105</v>
      </c>
    </row>
    <row r="9" spans="1:7" ht="15" customHeight="1" x14ac:dyDescent="0.3">
      <c r="A9" s="8" t="s">
        <v>106</v>
      </c>
      <c r="B9" s="9"/>
      <c r="C9" s="9"/>
      <c r="D9" s="9"/>
      <c r="E9" s="9"/>
      <c r="F9" s="9"/>
      <c r="G9" s="9"/>
    </row>
    <row r="10" spans="1:7" ht="15" customHeight="1" x14ac:dyDescent="0.3">
      <c r="B10" s="10" t="s">
        <v>107</v>
      </c>
      <c r="C10" s="10" t="s">
        <v>82</v>
      </c>
      <c r="D10" s="10" t="s">
        <v>83</v>
      </c>
      <c r="E10" s="10" t="s">
        <v>20</v>
      </c>
      <c r="G10" s="10" t="s">
        <v>36</v>
      </c>
    </row>
    <row r="11" spans="1:7" ht="15" customHeight="1" x14ac:dyDescent="0.3">
      <c r="B11" s="18" t="s">
        <v>108</v>
      </c>
      <c r="C11" s="21">
        <f>'3_BuildUp'!C18/$C$7</f>
        <v>10.521597406410478</v>
      </c>
      <c r="D11" s="22">
        <f>'3_BuildUp'!D18/$C$7</f>
        <v>16.031114304473533</v>
      </c>
      <c r="E11" s="17" t="s">
        <v>109</v>
      </c>
      <c r="G11" s="2" t="s">
        <v>110</v>
      </c>
    </row>
    <row r="13" spans="1:7" ht="15" customHeight="1" x14ac:dyDescent="0.3">
      <c r="A13" s="8" t="s">
        <v>111</v>
      </c>
      <c r="B13" s="9"/>
      <c r="C13" s="9"/>
      <c r="D13" s="9"/>
      <c r="E13" s="9"/>
      <c r="F13" s="9"/>
      <c r="G13" s="9"/>
    </row>
    <row r="14" spans="1:7" ht="15" customHeight="1" x14ac:dyDescent="0.3">
      <c r="B14" s="10" t="s">
        <v>107</v>
      </c>
      <c r="C14" s="10" t="s">
        <v>19</v>
      </c>
      <c r="D14" s="10" t="s">
        <v>20</v>
      </c>
      <c r="G14" s="10" t="s">
        <v>21</v>
      </c>
    </row>
    <row r="15" spans="1:7" ht="15" customHeight="1" x14ac:dyDescent="0.3">
      <c r="B15" s="17" t="s">
        <v>112</v>
      </c>
      <c r="C15" s="12">
        <v>9.8000000000000007</v>
      </c>
      <c r="D15" s="17" t="s">
        <v>109</v>
      </c>
      <c r="G15" s="2" t="s">
        <v>113</v>
      </c>
    </row>
    <row r="16" spans="1:7" ht="15" customHeight="1" x14ac:dyDescent="0.3">
      <c r="B16" s="17" t="s">
        <v>114</v>
      </c>
      <c r="C16" s="11">
        <f>C11/C15</f>
        <v>1.0736323884092325</v>
      </c>
      <c r="D16" s="17" t="s">
        <v>115</v>
      </c>
      <c r="G16" s="2" t="s">
        <v>116</v>
      </c>
    </row>
    <row r="17" spans="2:7" ht="15" customHeight="1" x14ac:dyDescent="0.3">
      <c r="B17" s="17" t="s">
        <v>117</v>
      </c>
      <c r="C17" s="11">
        <f>D11/C15</f>
        <v>1.6358279902524013</v>
      </c>
      <c r="D17" s="17" t="s">
        <v>115</v>
      </c>
      <c r="G17" s="2" t="s">
        <v>118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4"/>
  <sheetViews>
    <sheetView tabSelected="1" topLeftCell="A18" zoomScaleNormal="100" workbookViewId="0">
      <selection activeCell="H39" sqref="H39"/>
    </sheetView>
  </sheetViews>
  <sheetFormatPr defaultColWidth="8.6640625" defaultRowHeight="14.4" x14ac:dyDescent="0.3"/>
  <cols>
    <col min="1" max="1" width="3" customWidth="1"/>
    <col min="2" max="2" width="38" customWidth="1"/>
    <col min="3" max="4" width="14" customWidth="1"/>
    <col min="5" max="5" width="22.33203125" bestFit="1" customWidth="1"/>
    <col min="6" max="6" width="26.44140625" bestFit="1" customWidth="1"/>
    <col min="7" max="7" width="21.44140625" customWidth="1"/>
    <col min="8" max="8" width="77.44140625" customWidth="1"/>
  </cols>
  <sheetData>
    <row r="1" spans="1:10" x14ac:dyDescent="0.3">
      <c r="A1" s="13"/>
      <c r="B1" s="13"/>
      <c r="C1" s="13"/>
      <c r="D1" s="13"/>
      <c r="E1" s="13"/>
      <c r="F1" s="13"/>
      <c r="G1" s="13"/>
      <c r="H1" s="13"/>
      <c r="I1" s="13"/>
      <c r="J1" s="13"/>
    </row>
    <row r="2" spans="1:10" ht="15.75" customHeight="1" x14ac:dyDescent="0.3">
      <c r="A2" s="13"/>
      <c r="B2" s="1" t="s">
        <v>170</v>
      </c>
      <c r="C2" s="13"/>
      <c r="D2" s="13"/>
      <c r="E2" s="13"/>
      <c r="F2" s="13"/>
      <c r="G2" s="13"/>
      <c r="H2" s="13"/>
      <c r="I2" s="13"/>
      <c r="J2" s="13"/>
    </row>
    <row r="3" spans="1:10" ht="15" customHeight="1" x14ac:dyDescent="0.3">
      <c r="A3" s="13"/>
      <c r="B3" s="2" t="s">
        <v>119</v>
      </c>
      <c r="C3" s="13"/>
      <c r="D3" s="13"/>
      <c r="E3" s="13"/>
      <c r="F3" s="13"/>
      <c r="G3" s="13"/>
      <c r="H3" s="13"/>
      <c r="I3" s="13"/>
      <c r="J3" s="13"/>
    </row>
    <row r="4" spans="1:10" x14ac:dyDescent="0.3">
      <c r="A4" s="13"/>
      <c r="B4" s="2" t="s">
        <v>120</v>
      </c>
      <c r="C4" s="13"/>
      <c r="D4" s="13"/>
      <c r="E4" s="13"/>
      <c r="F4" s="13"/>
      <c r="G4" s="13"/>
      <c r="H4" s="13"/>
      <c r="I4" s="13"/>
      <c r="J4" s="13"/>
    </row>
    <row r="5" spans="1:10" ht="15" customHeight="1" x14ac:dyDescent="0.3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0" ht="15" customHeight="1" x14ac:dyDescent="0.3">
      <c r="A6" s="8" t="s">
        <v>121</v>
      </c>
      <c r="B6" s="15"/>
      <c r="C6" s="15"/>
      <c r="D6" s="15"/>
      <c r="E6" s="15"/>
      <c r="F6" s="15"/>
      <c r="G6" s="15"/>
      <c r="H6" s="15"/>
      <c r="I6" s="13"/>
      <c r="J6" s="13"/>
    </row>
    <row r="7" spans="1:10" ht="15" customHeight="1" x14ac:dyDescent="0.3">
      <c r="A7" s="13"/>
      <c r="B7" s="10" t="s">
        <v>122</v>
      </c>
      <c r="C7" s="10" t="s">
        <v>19</v>
      </c>
      <c r="D7" s="10" t="s">
        <v>20</v>
      </c>
      <c r="E7" s="13"/>
      <c r="F7" s="13"/>
      <c r="G7" s="13"/>
      <c r="H7" s="10" t="s">
        <v>123</v>
      </c>
      <c r="I7" s="13"/>
      <c r="J7" s="13"/>
    </row>
    <row r="8" spans="1:10" ht="15" customHeight="1" x14ac:dyDescent="0.3">
      <c r="A8" s="13"/>
      <c r="B8" s="11" t="s">
        <v>124</v>
      </c>
      <c r="C8" s="12">
        <v>36</v>
      </c>
      <c r="D8" s="11" t="s">
        <v>125</v>
      </c>
      <c r="E8" s="13"/>
      <c r="F8" s="13"/>
      <c r="G8" s="13"/>
      <c r="H8" s="2" t="s">
        <v>126</v>
      </c>
      <c r="I8" s="13"/>
      <c r="J8" s="13"/>
    </row>
    <row r="9" spans="1:10" ht="15" customHeight="1" x14ac:dyDescent="0.3">
      <c r="A9" s="13"/>
      <c r="B9" s="11" t="s">
        <v>174</v>
      </c>
      <c r="C9" s="12">
        <v>461</v>
      </c>
      <c r="D9" s="11" t="s">
        <v>125</v>
      </c>
      <c r="E9" s="13"/>
      <c r="F9" s="13"/>
      <c r="G9" s="13"/>
      <c r="H9" s="2" t="s">
        <v>165</v>
      </c>
      <c r="I9" s="13"/>
      <c r="J9" s="13"/>
    </row>
    <row r="10" spans="1:10" ht="15" customHeight="1" x14ac:dyDescent="0.3">
      <c r="A10" s="13"/>
      <c r="B10" s="11" t="s">
        <v>127</v>
      </c>
      <c r="C10" s="12">
        <v>9.8000000000000007</v>
      </c>
      <c r="D10" s="11" t="s">
        <v>109</v>
      </c>
      <c r="E10" s="13"/>
      <c r="F10" s="13"/>
      <c r="G10" s="13"/>
      <c r="H10" s="2" t="s">
        <v>128</v>
      </c>
      <c r="I10" s="13"/>
      <c r="J10" s="13"/>
    </row>
    <row r="11" spans="1:10" x14ac:dyDescent="0.3">
      <c r="A11" s="13"/>
      <c r="B11" s="11" t="s">
        <v>129</v>
      </c>
      <c r="C11" s="12">
        <v>16.03</v>
      </c>
      <c r="D11" s="11" t="s">
        <v>109</v>
      </c>
      <c r="E11" s="13"/>
      <c r="F11" s="13"/>
      <c r="G11" s="13"/>
      <c r="H11" s="2" t="s">
        <v>130</v>
      </c>
      <c r="I11" s="13"/>
      <c r="J11" s="13"/>
    </row>
    <row r="12" spans="1:10" ht="15" customHeight="1" x14ac:dyDescent="0.3">
      <c r="A12" s="13"/>
      <c r="B12" s="11" t="s">
        <v>131</v>
      </c>
      <c r="C12" s="12">
        <v>32</v>
      </c>
      <c r="D12" s="11" t="s">
        <v>109</v>
      </c>
      <c r="E12" s="13"/>
      <c r="F12" s="13"/>
      <c r="G12" s="13"/>
      <c r="H12" s="2" t="s">
        <v>132</v>
      </c>
      <c r="I12" s="13"/>
      <c r="J12" s="13"/>
    </row>
    <row r="13" spans="1:10" ht="15" customHeight="1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spans="1:10" ht="15" customHeight="1" x14ac:dyDescent="0.3">
      <c r="A14" s="8" t="s">
        <v>171</v>
      </c>
      <c r="B14" s="15"/>
      <c r="C14" s="15"/>
      <c r="D14" s="15"/>
      <c r="E14" s="15"/>
      <c r="F14" s="15"/>
      <c r="G14" s="15"/>
      <c r="H14" s="15"/>
      <c r="I14" s="13"/>
      <c r="J14" s="13"/>
    </row>
    <row r="15" spans="1:10" ht="15" customHeight="1" x14ac:dyDescent="0.3">
      <c r="A15" s="13"/>
      <c r="B15" s="10" t="s">
        <v>133</v>
      </c>
      <c r="C15" s="10" t="s">
        <v>134</v>
      </c>
      <c r="D15" s="10" t="s">
        <v>135</v>
      </c>
      <c r="E15" s="10" t="s">
        <v>136</v>
      </c>
      <c r="F15" s="10" t="s">
        <v>137</v>
      </c>
      <c r="G15" s="10" t="s">
        <v>180</v>
      </c>
      <c r="H15" s="23"/>
      <c r="I15" s="13"/>
      <c r="J15" s="13"/>
    </row>
    <row r="16" spans="1:10" x14ac:dyDescent="0.3">
      <c r="A16" s="13"/>
      <c r="B16" s="11" t="s">
        <v>138</v>
      </c>
      <c r="C16" s="12">
        <v>25</v>
      </c>
      <c r="D16" s="12">
        <v>9.8000000000000007</v>
      </c>
      <c r="E16" s="11">
        <f>C16</f>
        <v>25</v>
      </c>
      <c r="F16" s="11">
        <f>C16*D16</f>
        <v>245.00000000000003</v>
      </c>
      <c r="G16" s="11"/>
      <c r="H16" s="23"/>
      <c r="I16" s="13"/>
      <c r="J16" s="13"/>
    </row>
    <row r="17" spans="1:10" x14ac:dyDescent="0.3">
      <c r="A17" s="13"/>
      <c r="B17" s="11" t="s">
        <v>139</v>
      </c>
      <c r="C17" s="12">
        <v>10</v>
      </c>
      <c r="D17" s="12">
        <v>13</v>
      </c>
      <c r="E17" s="11">
        <f t="shared" ref="E17:E23" si="0">E16+C17</f>
        <v>35</v>
      </c>
      <c r="F17" s="11">
        <f t="shared" ref="F17:F23" si="1">F16+C17*D17</f>
        <v>375</v>
      </c>
      <c r="G17" s="11">
        <f>LN(E17/E16)/LN(D17/D16)</f>
        <v>1.1907698712828192</v>
      </c>
      <c r="H17" s="23"/>
      <c r="I17" s="13"/>
      <c r="J17" s="13"/>
    </row>
    <row r="18" spans="1:10" x14ac:dyDescent="0.3">
      <c r="A18" s="13"/>
      <c r="B18" s="11" t="s">
        <v>140</v>
      </c>
      <c r="C18" s="12">
        <v>10</v>
      </c>
      <c r="D18" s="12">
        <v>16</v>
      </c>
      <c r="E18" s="11">
        <f t="shared" si="0"/>
        <v>45</v>
      </c>
      <c r="F18" s="11">
        <f t="shared" si="1"/>
        <v>535</v>
      </c>
      <c r="G18" s="11">
        <f t="shared" ref="G18:G23" si="2">LN(E18/E17)/LN(D18/D17)</f>
        <v>1.2103409608737046</v>
      </c>
      <c r="H18" s="23"/>
      <c r="I18" s="13"/>
      <c r="J18" s="13"/>
    </row>
    <row r="19" spans="1:10" x14ac:dyDescent="0.3">
      <c r="A19" s="13"/>
      <c r="B19" s="11" t="s">
        <v>141</v>
      </c>
      <c r="C19" s="12">
        <v>10</v>
      </c>
      <c r="D19" s="12">
        <v>19</v>
      </c>
      <c r="E19" s="11">
        <f t="shared" si="0"/>
        <v>55</v>
      </c>
      <c r="F19" s="11">
        <f t="shared" si="1"/>
        <v>725</v>
      </c>
      <c r="G19" s="11">
        <f t="shared" si="2"/>
        <v>1.1677066944845578</v>
      </c>
      <c r="H19" s="23"/>
      <c r="I19" s="13"/>
      <c r="J19" s="13"/>
    </row>
    <row r="20" spans="1:10" x14ac:dyDescent="0.3">
      <c r="A20" s="13"/>
      <c r="B20" s="11" t="s">
        <v>142</v>
      </c>
      <c r="C20" s="12">
        <v>10</v>
      </c>
      <c r="D20" s="12">
        <v>22</v>
      </c>
      <c r="E20" s="11">
        <f t="shared" si="0"/>
        <v>65</v>
      </c>
      <c r="F20" s="11">
        <f t="shared" si="1"/>
        <v>945</v>
      </c>
      <c r="G20" s="11">
        <f t="shared" si="2"/>
        <v>1.1394960834592835</v>
      </c>
      <c r="H20" s="23"/>
      <c r="I20" s="13"/>
      <c r="J20" s="13"/>
    </row>
    <row r="21" spans="1:10" x14ac:dyDescent="0.3">
      <c r="A21" s="13"/>
      <c r="B21" s="11" t="s">
        <v>143</v>
      </c>
      <c r="C21" s="12">
        <v>10</v>
      </c>
      <c r="D21" s="12">
        <v>25</v>
      </c>
      <c r="E21" s="11">
        <f t="shared" si="0"/>
        <v>75</v>
      </c>
      <c r="F21" s="11">
        <f t="shared" si="1"/>
        <v>1195</v>
      </c>
      <c r="G21" s="11">
        <f t="shared" si="2"/>
        <v>1.1194326016004956</v>
      </c>
      <c r="H21" s="23"/>
      <c r="I21" s="13"/>
      <c r="J21" s="13"/>
    </row>
    <row r="22" spans="1:10" x14ac:dyDescent="0.3">
      <c r="A22" s="13"/>
      <c r="B22" s="11" t="s">
        <v>172</v>
      </c>
      <c r="C22" s="12">
        <v>25</v>
      </c>
      <c r="D22" s="12">
        <v>28</v>
      </c>
      <c r="E22" s="11">
        <f t="shared" si="0"/>
        <v>100</v>
      </c>
      <c r="F22" s="11">
        <f t="shared" si="1"/>
        <v>1895</v>
      </c>
      <c r="G22" s="11">
        <f t="shared" si="2"/>
        <v>2.538475335458632</v>
      </c>
      <c r="H22" s="23"/>
      <c r="I22" s="13"/>
      <c r="J22" s="13"/>
    </row>
    <row r="23" spans="1:10" x14ac:dyDescent="0.3">
      <c r="A23" s="13"/>
      <c r="B23" s="11" t="s">
        <v>173</v>
      </c>
      <c r="C23" s="12">
        <v>50</v>
      </c>
      <c r="D23" s="12">
        <v>32</v>
      </c>
      <c r="E23" s="11">
        <f t="shared" si="0"/>
        <v>150</v>
      </c>
      <c r="F23" s="11">
        <f t="shared" si="1"/>
        <v>3495</v>
      </c>
      <c r="G23" s="11">
        <f t="shared" si="2"/>
        <v>3.0364777910187253</v>
      </c>
      <c r="H23" s="23"/>
      <c r="I23" s="13"/>
      <c r="J23" s="13"/>
    </row>
    <row r="24" spans="1:10" ht="15" customHeight="1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spans="1:10" ht="15" customHeight="1" x14ac:dyDescent="0.3">
      <c r="A25" s="13"/>
      <c r="B25" s="18" t="s">
        <v>144</v>
      </c>
      <c r="C25" s="18">
        <f>SUM(C16:C23)</f>
        <v>150</v>
      </c>
      <c r="D25" s="24"/>
      <c r="E25" s="16">
        <f>E23</f>
        <v>150</v>
      </c>
      <c r="F25" s="16">
        <f>F23</f>
        <v>3495</v>
      </c>
      <c r="G25" s="16">
        <f>LN(E23/E16)/LN(D23/D16)</f>
        <v>1.5141371055235668</v>
      </c>
      <c r="H25" s="2"/>
      <c r="I25" s="13"/>
      <c r="J25" s="13"/>
    </row>
    <row r="26" spans="1:10" ht="15" customHeight="1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spans="1:10" ht="15" customHeight="1" x14ac:dyDescent="0.3">
      <c r="A27" s="8" t="s">
        <v>145</v>
      </c>
      <c r="B27" s="15"/>
      <c r="C27" s="15"/>
      <c r="D27" s="15"/>
      <c r="E27" s="15"/>
      <c r="F27" s="15"/>
      <c r="G27" s="15"/>
      <c r="H27" s="15"/>
      <c r="I27" s="13"/>
      <c r="J27" s="13"/>
    </row>
    <row r="28" spans="1:10" ht="15" customHeight="1" x14ac:dyDescent="0.3">
      <c r="A28" s="13"/>
      <c r="B28" s="11" t="s">
        <v>146</v>
      </c>
      <c r="C28" s="11" t="str">
        <f>IF(C25&lt;=C9,"OK - within Constraint E","EXCEEDS PHYSICAL CAP")</f>
        <v>OK - within Constraint E</v>
      </c>
      <c r="D28" s="13"/>
      <c r="E28" s="13"/>
      <c r="F28" s="13"/>
      <c r="G28" s="13"/>
      <c r="H28" s="13"/>
      <c r="I28" s="13"/>
      <c r="J28" s="13"/>
    </row>
    <row r="29" spans="1:10" ht="15" customHeight="1" x14ac:dyDescent="0.3">
      <c r="A29" s="13"/>
      <c r="B29" s="11" t="s">
        <v>147</v>
      </c>
      <c r="C29" s="11" t="str">
        <f>IF(C16&gt;=C8,"OK - T1 covers current","T1 BELOW CURRENT - bad calibration")</f>
        <v>T1 BELOW CURRENT - bad calibration</v>
      </c>
      <c r="D29" s="13"/>
      <c r="E29" s="13"/>
      <c r="F29" s="13"/>
      <c r="G29" s="13"/>
      <c r="H29" s="13"/>
      <c r="I29" s="13"/>
      <c r="J29" s="13"/>
    </row>
    <row r="30" spans="1:10" x14ac:dyDescent="0.3">
      <c r="A30" s="13"/>
      <c r="B30" s="11" t="s">
        <v>148</v>
      </c>
      <c r="C30" s="11" t="str">
        <f>IF(AND(D17&gt;=D16,D18&gt;=D17,D19&gt;=D18,D20&gt;=D19,D21&gt;=D20),"OK - convex curve","NON-MONOTONIC - solver may not converge")</f>
        <v>OK - convex curve</v>
      </c>
      <c r="D30" s="13"/>
      <c r="E30" s="13"/>
      <c r="F30" s="13"/>
      <c r="G30" s="13"/>
      <c r="H30" s="13"/>
      <c r="I30" s="13"/>
      <c r="J30" s="13"/>
    </row>
    <row r="31" spans="1:10" ht="15" customHeight="1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spans="1:10" ht="15" customHeight="1" x14ac:dyDescent="0.3">
      <c r="A32" s="8" t="s">
        <v>149</v>
      </c>
      <c r="B32" s="15"/>
      <c r="C32" s="15"/>
      <c r="D32" s="15"/>
      <c r="E32" s="15"/>
      <c r="F32" s="15"/>
      <c r="G32" s="15"/>
      <c r="H32" s="15"/>
      <c r="I32" s="13"/>
      <c r="J32" s="13"/>
    </row>
    <row r="33" spans="1:10" ht="15" customHeight="1" x14ac:dyDescent="0.3">
      <c r="A33" s="13"/>
      <c r="B33" s="10" t="s">
        <v>150</v>
      </c>
      <c r="C33" s="10" t="s">
        <v>151</v>
      </c>
      <c r="D33" s="10" t="s">
        <v>125</v>
      </c>
      <c r="E33" s="10" t="s">
        <v>152</v>
      </c>
      <c r="F33" s="10" t="s">
        <v>153</v>
      </c>
      <c r="G33" s="13"/>
      <c r="H33" s="26"/>
      <c r="I33" s="13"/>
      <c r="J33" s="13"/>
    </row>
    <row r="34" spans="1:10" ht="15" customHeight="1" x14ac:dyDescent="0.3">
      <c r="A34" s="13"/>
      <c r="B34" s="11" t="s">
        <v>154</v>
      </c>
      <c r="C34" s="11">
        <v>36000000</v>
      </c>
      <c r="D34" s="11">
        <v>36</v>
      </c>
      <c r="E34" s="11">
        <f t="shared" ref="E34:E40" si="3">IF(D34&lt;=$E$16,$D$16,IF(D34&lt;=$E$17,$D$17,IF(D34&lt;=$E$18,$D$18,IF(D34&lt;=$E$19,$D$19,IF(D34&lt;=$E$20,$D$20,$D$21)))))</f>
        <v>16</v>
      </c>
      <c r="F34" s="11">
        <f t="shared" ref="F34:F42" si="4">IF(D34&lt;=$E$16, $D$16,IF(D34&lt;=$E$17, ($F$16 + (D34-$E$16)*$D$17)/D34,IF(D34&lt;=$E$18, ($F$17 + (D34-$E$17)*$D$18)/D34,IF(D34&lt;=$E$19, ($F$18 + (D34-$E$18)*$D$19)/D34,IF(D34&lt;=$E$20, ($F$19 + (D34-$E$19)*$D$20)/D34,($F$20 + (D34-$E$20)*$D$21)/D34)))))</f>
        <v>10.861111111111111</v>
      </c>
      <c r="G34" s="13"/>
      <c r="H34" s="27"/>
      <c r="I34" s="13"/>
      <c r="J34" s="13"/>
    </row>
    <row r="35" spans="1:10" x14ac:dyDescent="0.3">
      <c r="A35" s="13"/>
      <c r="B35" s="11" t="s">
        <v>155</v>
      </c>
      <c r="C35" s="11">
        <v>25000000</v>
      </c>
      <c r="D35" s="11">
        <v>25</v>
      </c>
      <c r="E35" s="11">
        <v>9.8000000000000007</v>
      </c>
      <c r="F35" s="11">
        <f t="shared" si="4"/>
        <v>9.8000000000000007</v>
      </c>
      <c r="G35" s="13"/>
      <c r="H35" s="27"/>
      <c r="I35" s="13"/>
      <c r="J35" s="13"/>
    </row>
    <row r="36" spans="1:10" x14ac:dyDescent="0.3">
      <c r="A36" s="13"/>
      <c r="B36" s="11" t="s">
        <v>156</v>
      </c>
      <c r="C36" s="11">
        <v>35000000</v>
      </c>
      <c r="D36" s="11">
        <v>35</v>
      </c>
      <c r="E36" s="11">
        <v>13</v>
      </c>
      <c r="F36" s="11">
        <f t="shared" si="4"/>
        <v>10.714285714285714</v>
      </c>
      <c r="G36" s="13"/>
      <c r="H36" s="27"/>
      <c r="I36" s="13"/>
      <c r="J36" s="13"/>
    </row>
    <row r="37" spans="1:10" x14ac:dyDescent="0.3">
      <c r="A37" s="13"/>
      <c r="B37" s="11" t="s">
        <v>157</v>
      </c>
      <c r="C37" s="11">
        <v>45000000</v>
      </c>
      <c r="D37" s="11">
        <v>45</v>
      </c>
      <c r="E37" s="11">
        <v>16</v>
      </c>
      <c r="F37" s="11">
        <f t="shared" si="4"/>
        <v>11.888888888888889</v>
      </c>
      <c r="G37" s="13"/>
      <c r="H37" s="27"/>
      <c r="I37" s="13"/>
      <c r="J37" s="13"/>
    </row>
    <row r="38" spans="1:10" x14ac:dyDescent="0.3">
      <c r="A38" s="13"/>
      <c r="B38" s="11" t="s">
        <v>158</v>
      </c>
      <c r="C38" s="11">
        <v>55000000</v>
      </c>
      <c r="D38" s="11">
        <v>55</v>
      </c>
      <c r="E38" s="11">
        <v>19</v>
      </c>
      <c r="F38" s="11">
        <f t="shared" si="4"/>
        <v>13.181818181818182</v>
      </c>
      <c r="G38" s="13"/>
      <c r="H38" s="27"/>
      <c r="I38" s="13"/>
      <c r="J38" s="13"/>
    </row>
    <row r="39" spans="1:10" x14ac:dyDescent="0.3">
      <c r="A39" s="13"/>
      <c r="B39" s="11" t="s">
        <v>159</v>
      </c>
      <c r="C39" s="11">
        <v>65000000</v>
      </c>
      <c r="D39" s="11">
        <v>65</v>
      </c>
      <c r="E39" s="11">
        <v>22</v>
      </c>
      <c r="F39" s="11">
        <f t="shared" si="4"/>
        <v>14.538461538461538</v>
      </c>
      <c r="G39" s="13"/>
      <c r="H39" s="27"/>
      <c r="I39" s="13"/>
      <c r="J39" s="13"/>
    </row>
    <row r="40" spans="1:10" x14ac:dyDescent="0.3">
      <c r="A40" s="13"/>
      <c r="B40" s="11" t="s">
        <v>177</v>
      </c>
      <c r="C40" s="11">
        <v>75000000</v>
      </c>
      <c r="D40" s="11">
        <v>75</v>
      </c>
      <c r="E40" s="11">
        <v>25</v>
      </c>
      <c r="F40" s="11">
        <f t="shared" si="4"/>
        <v>15.933333333333334</v>
      </c>
      <c r="G40" s="13"/>
      <c r="H40" s="27"/>
      <c r="I40" s="13"/>
      <c r="J40" s="13"/>
    </row>
    <row r="41" spans="1:10" x14ac:dyDescent="0.3">
      <c r="A41" s="13"/>
      <c r="B41" s="11" t="s">
        <v>178</v>
      </c>
      <c r="C41" s="11">
        <v>100000000</v>
      </c>
      <c r="D41" s="11">
        <v>100</v>
      </c>
      <c r="E41" s="11">
        <v>28</v>
      </c>
      <c r="F41" s="11">
        <f t="shared" si="4"/>
        <v>18.2</v>
      </c>
      <c r="G41" s="13"/>
      <c r="H41" s="27"/>
      <c r="I41" s="13"/>
      <c r="J41" s="13"/>
    </row>
    <row r="42" spans="1:10" x14ac:dyDescent="0.3">
      <c r="A42" s="13"/>
      <c r="B42" s="11" t="s">
        <v>179</v>
      </c>
      <c r="C42" s="11">
        <v>150000000</v>
      </c>
      <c r="D42" s="11">
        <v>150</v>
      </c>
      <c r="E42" s="11">
        <v>32</v>
      </c>
      <c r="F42" s="11">
        <f t="shared" si="4"/>
        <v>20.466666666666665</v>
      </c>
      <c r="G42" s="13"/>
      <c r="H42" s="2"/>
      <c r="I42" s="13"/>
      <c r="J42" s="13"/>
    </row>
    <row r="43" spans="1:10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3">
      <c r="A44" s="8" t="s">
        <v>160</v>
      </c>
      <c r="B44" s="15"/>
      <c r="C44" s="15"/>
      <c r="D44" s="15"/>
      <c r="E44" s="15"/>
      <c r="F44" s="15"/>
      <c r="G44" s="15"/>
      <c r="H44" s="15"/>
      <c r="I44" s="13"/>
      <c r="J44" s="13"/>
    </row>
    <row r="45" spans="1:10" x14ac:dyDescent="0.3">
      <c r="A45" s="13"/>
      <c r="B45" s="3" t="s">
        <v>161</v>
      </c>
      <c r="C45" s="13"/>
      <c r="D45" s="13"/>
      <c r="E45" s="13"/>
      <c r="F45" s="13"/>
      <c r="G45" s="13"/>
      <c r="H45" s="13"/>
      <c r="I45" s="13"/>
      <c r="J45" s="13"/>
    </row>
    <row r="46" spans="1:10" x14ac:dyDescent="0.3">
      <c r="A46" s="13"/>
      <c r="B46" s="25" t="s">
        <v>162</v>
      </c>
      <c r="C46" s="4" t="s">
        <v>166</v>
      </c>
      <c r="D46" s="13"/>
      <c r="E46" s="13"/>
      <c r="F46" s="13"/>
      <c r="G46" s="13"/>
      <c r="H46" s="13"/>
      <c r="I46" s="13"/>
      <c r="J46" s="13"/>
    </row>
    <row r="47" spans="1:10" x14ac:dyDescent="0.3">
      <c r="A47" s="13"/>
      <c r="B47" s="25" t="s">
        <v>163</v>
      </c>
      <c r="C47" s="4" t="s">
        <v>175</v>
      </c>
      <c r="D47" s="13"/>
      <c r="E47" s="13"/>
      <c r="F47" s="13"/>
      <c r="G47" s="13"/>
      <c r="H47" s="13"/>
      <c r="I47" s="13"/>
      <c r="J47" s="13"/>
    </row>
    <row r="48" spans="1:10" x14ac:dyDescent="0.3">
      <c r="A48" s="13"/>
      <c r="B48" s="2" t="s">
        <v>164</v>
      </c>
      <c r="C48" s="13"/>
      <c r="D48" s="13"/>
      <c r="E48" s="13"/>
      <c r="F48" s="13"/>
      <c r="G48" s="13"/>
      <c r="H48" s="13"/>
      <c r="I48" s="13"/>
      <c r="J48" s="13"/>
    </row>
    <row r="49" spans="1:10" x14ac:dyDescent="0.3">
      <c r="A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3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3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3">
      <c r="A52" s="13"/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3">
      <c r="A53" s="13"/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0_README</vt:lpstr>
      <vt:lpstr>1_Wood</vt:lpstr>
      <vt:lpstr>2_Charcoaling</vt:lpstr>
      <vt:lpstr>3_BuildUp</vt:lpstr>
      <vt:lpstr>4_FX_to_USD</vt:lpstr>
      <vt:lpstr>5_Tiers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Bruna Guimaraes</cp:lastModifiedBy>
  <cp:revision>0</cp:revision>
  <dcterms:created xsi:type="dcterms:W3CDTF">2026-05-20T01:08:14Z</dcterms:created>
  <dcterms:modified xsi:type="dcterms:W3CDTF">2026-10-05T18:46:23Z</dcterms:modified>
  <dc:language>en-US</dc:language>
</cp:coreProperties>
</file>